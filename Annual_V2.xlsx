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ba3788c24686780f/Escritorio/Nissan/Dashboard_NIBU/"/>
    </mc:Choice>
  </mc:AlternateContent>
  <xr:revisionPtr revIDLastSave="25" documentId="8_{0D9B1BE0-0977-4091-8500-2A46E4BE3E04}" xr6:coauthVersionLast="47" xr6:coauthVersionMax="47" xr10:uidLastSave="{99CE832C-565D-43AD-BA19-546881FA837E}"/>
  <bookViews>
    <workbookView xWindow="-28920" yWindow="-6105" windowWidth="29040" windowHeight="15720" firstSheet="7" activeTab="12" xr2:uid="{53836420-D36C-410F-ABBE-B356CDD75E29}"/>
  </bookViews>
  <sheets>
    <sheet name="AP25" sheetId="1" state="hidden" r:id="rId1"/>
    <sheet name="OR Q1" sheetId="2" state="hidden" r:id="rId2"/>
    <sheet name="OR Q2" sheetId="4" state="hidden" r:id="rId3"/>
    <sheet name="AP25JUL" sheetId="5" state="hidden" r:id="rId4"/>
    <sheet name="OR AUG" sheetId="7" state="hidden" r:id="rId5"/>
    <sheet name="AP25AUG" sheetId="8" state="hidden" r:id="rId6"/>
    <sheet name="OR SEP" sheetId="9" r:id="rId7"/>
    <sheet name="AP25SEP" sheetId="10" r:id="rId8"/>
    <sheet name="OROCT" sheetId="13" state="hidden" r:id="rId9"/>
    <sheet name="AP25OCT" sheetId="14" state="hidden" r:id="rId10"/>
    <sheet name="NOV" sheetId="15" r:id="rId11"/>
    <sheet name="AP25NOV" sheetId="16" r:id="rId12"/>
    <sheet name="DEC" sheetId="18" r:id="rId13"/>
    <sheet name="AP25DEC" sheetId="19" r:id="rId14"/>
    <sheet name="Sheet1" sheetId="11" state="hidden" r:id="rId15"/>
    <sheet name="Sheet2" sheetId="12" state="hidden" r:id="rId16"/>
    <sheet name="Grupo Q" sheetId="6" state="hidden" r:id="rId17"/>
  </sheets>
  <definedNames>
    <definedName name="_xlnm._FilterDatabase" localSheetId="12" hidden="1">DEC!$S$4:$Y$4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18" l="1"/>
  <c r="F35" i="18" s="1"/>
  <c r="F56" i="18" l="1"/>
  <c r="F44" i="18"/>
  <c r="F57" i="18"/>
  <c r="F46" i="18"/>
  <c r="F34" i="18"/>
  <c r="F45" i="18"/>
  <c r="F33" i="18"/>
  <c r="F32" i="18"/>
  <c r="F52" i="18"/>
  <c r="F43" i="18"/>
  <c r="F54" i="18"/>
  <c r="F30" i="18"/>
  <c r="F41" i="18"/>
  <c r="F51" i="18"/>
  <c r="F39" i="18"/>
  <c r="F27" i="18"/>
  <c r="F31" i="18"/>
  <c r="F29" i="18"/>
  <c r="F50" i="18"/>
  <c r="F38" i="18"/>
  <c r="F49" i="18"/>
  <c r="F37" i="18"/>
  <c r="F55" i="18"/>
  <c r="F42" i="18"/>
  <c r="F40" i="18"/>
  <c r="F26" i="18"/>
  <c r="F48" i="18"/>
  <c r="F36" i="18"/>
  <c r="F53" i="18"/>
  <c r="F28" i="18"/>
  <c r="F47" i="18"/>
  <c r="U56" i="18"/>
  <c r="U55" i="18"/>
  <c r="T56" i="18"/>
  <c r="T55" i="18"/>
  <c r="S56" i="18"/>
  <c r="S55" i="18"/>
  <c r="R58" i="18"/>
  <c r="R57" i="18"/>
  <c r="I57" i="18" l="1"/>
  <c r="M57" i="18" s="1"/>
  <c r="I58" i="18"/>
  <c r="M58" i="18" s="1"/>
  <c r="H58" i="18"/>
  <c r="K58" i="18" s="1"/>
  <c r="H57" i="18"/>
  <c r="K57" i="18" s="1"/>
  <c r="F13" i="19"/>
  <c r="F12" i="19"/>
  <c r="F11" i="19"/>
  <c r="F10" i="19"/>
  <c r="F9" i="19"/>
  <c r="F18" i="19"/>
  <c r="F17" i="19"/>
  <c r="F8" i="19"/>
  <c r="F7" i="19"/>
  <c r="F6" i="19"/>
  <c r="F5" i="19"/>
  <c r="F14" i="19"/>
  <c r="F15" i="19"/>
  <c r="F16" i="19"/>
  <c r="F4" i="19"/>
  <c r="L15" i="19"/>
  <c r="L17" i="19"/>
  <c r="L18" i="19"/>
  <c r="M56" i="18"/>
  <c r="L6" i="19" s="1"/>
  <c r="M28" i="18"/>
  <c r="L16" i="19" s="1"/>
  <c r="M29" i="18"/>
  <c r="L7" i="19" s="1"/>
  <c r="M30" i="18"/>
  <c r="M31" i="18"/>
  <c r="L9" i="19" s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L8" i="19" s="1"/>
  <c r="M46" i="18"/>
  <c r="L14" i="19" s="1"/>
  <c r="M47" i="18"/>
  <c r="L10" i="19" s="1"/>
  <c r="M48" i="18"/>
  <c r="L11" i="19" s="1"/>
  <c r="M49" i="18"/>
  <c r="L12" i="19" s="1"/>
  <c r="M50" i="18"/>
  <c r="M51" i="18"/>
  <c r="M52" i="18"/>
  <c r="M53" i="18"/>
  <c r="L13" i="19" s="1"/>
  <c r="M54" i="18"/>
  <c r="M55" i="18"/>
  <c r="L5" i="19" s="1"/>
  <c r="M27" i="18"/>
  <c r="L4" i="19" s="1"/>
  <c r="K17" i="19" l="1"/>
  <c r="K18" i="19"/>
  <c r="K28" i="18"/>
  <c r="K16" i="19" s="1"/>
  <c r="K29" i="18"/>
  <c r="K7" i="19" s="1"/>
  <c r="K30" i="18"/>
  <c r="K15" i="19" s="1"/>
  <c r="K31" i="18"/>
  <c r="K9" i="19" s="1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8" i="19" s="1"/>
  <c r="K46" i="18"/>
  <c r="K14" i="19" s="1"/>
  <c r="K47" i="18"/>
  <c r="K10" i="19" s="1"/>
  <c r="K48" i="18"/>
  <c r="K11" i="19" s="1"/>
  <c r="K49" i="18"/>
  <c r="K12" i="19" s="1"/>
  <c r="K50" i="18"/>
  <c r="K51" i="18"/>
  <c r="K52" i="18"/>
  <c r="K53" i="18"/>
  <c r="K13" i="19" s="1"/>
  <c r="K54" i="18"/>
  <c r="K55" i="18"/>
  <c r="K5" i="19" s="1"/>
  <c r="K56" i="18"/>
  <c r="K6" i="19" s="1"/>
  <c r="K27" i="18"/>
  <c r="K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4" i="19"/>
  <c r="C92" i="15"/>
  <c r="C58" i="18" l="1"/>
  <c r="F58" i="18" s="1"/>
  <c r="C59" i="18"/>
  <c r="F59" i="18" s="1"/>
  <c r="D59" i="18"/>
  <c r="E59" i="18" l="1"/>
  <c r="E58" i="18" l="1"/>
  <c r="M18" i="19" s="1"/>
  <c r="M17" i="19"/>
  <c r="E27" i="18"/>
  <c r="E28" i="18"/>
  <c r="E29" i="18"/>
  <c r="E30" i="18"/>
  <c r="E31" i="18"/>
  <c r="E32" i="18"/>
  <c r="E33" i="18"/>
  <c r="M16" i="19" s="1"/>
  <c r="E34" i="18"/>
  <c r="M4" i="19" s="1"/>
  <c r="E35" i="18"/>
  <c r="M6" i="19" s="1"/>
  <c r="E36" i="18"/>
  <c r="E37" i="18"/>
  <c r="E38" i="18"/>
  <c r="M13" i="19" s="1"/>
  <c r="E39" i="18"/>
  <c r="M7" i="19" s="1"/>
  <c r="E40" i="18"/>
  <c r="M10" i="19" s="1"/>
  <c r="E41" i="18"/>
  <c r="E42" i="18"/>
  <c r="E43" i="18"/>
  <c r="M14" i="19" s="1"/>
  <c r="E44" i="18"/>
  <c r="E45" i="18"/>
  <c r="M11" i="19" s="1"/>
  <c r="E46" i="18"/>
  <c r="E47" i="18"/>
  <c r="M12" i="19" s="1"/>
  <c r="E48" i="18"/>
  <c r="M5" i="19" s="1"/>
  <c r="E49" i="18"/>
  <c r="M8" i="19" s="1"/>
  <c r="E50" i="18"/>
  <c r="M15" i="19" s="1"/>
  <c r="E51" i="18"/>
  <c r="E52" i="18"/>
  <c r="E53" i="18"/>
  <c r="E54" i="18"/>
  <c r="E55" i="18"/>
  <c r="E56" i="18"/>
  <c r="E57" i="18"/>
  <c r="M9" i="19" s="1"/>
  <c r="E26" i="18"/>
  <c r="D13" i="19"/>
  <c r="I21" i="18"/>
  <c r="L21" i="18" s="1"/>
  <c r="G21" i="18"/>
  <c r="K21" i="18" s="1"/>
  <c r="L20" i="18"/>
  <c r="D17" i="19" s="1"/>
  <c r="K20" i="18"/>
  <c r="C17" i="19" s="1"/>
  <c r="I19" i="18"/>
  <c r="L19" i="18" s="1"/>
  <c r="G19" i="18"/>
  <c r="K19" i="18" s="1"/>
  <c r="C13" i="19" s="1"/>
  <c r="I18" i="18"/>
  <c r="L18" i="18" s="1"/>
  <c r="D15" i="19" s="1"/>
  <c r="G18" i="18"/>
  <c r="K18" i="18" s="1"/>
  <c r="C15" i="19" s="1"/>
  <c r="I17" i="18"/>
  <c r="L17" i="18" s="1"/>
  <c r="D12" i="19" s="1"/>
  <c r="G17" i="18"/>
  <c r="K17" i="18" s="1"/>
  <c r="C12" i="19" s="1"/>
  <c r="I16" i="18"/>
  <c r="L16" i="18" s="1"/>
  <c r="D11" i="19" s="1"/>
  <c r="G16" i="18"/>
  <c r="K16" i="18" s="1"/>
  <c r="C11" i="19" s="1"/>
  <c r="I15" i="18"/>
  <c r="L15" i="18" s="1"/>
  <c r="D14" i="19" s="1"/>
  <c r="G15" i="18"/>
  <c r="K15" i="18" s="1"/>
  <c r="C14" i="19" s="1"/>
  <c r="I14" i="18"/>
  <c r="L14" i="18" s="1"/>
  <c r="D10" i="19" s="1"/>
  <c r="G14" i="18"/>
  <c r="K14" i="18" s="1"/>
  <c r="C10" i="19" s="1"/>
  <c r="I13" i="18"/>
  <c r="L13" i="18" s="1"/>
  <c r="D16" i="19" s="1"/>
  <c r="G13" i="18"/>
  <c r="K13" i="18" s="1"/>
  <c r="C16" i="19" s="1"/>
  <c r="I12" i="18"/>
  <c r="L12" i="18" s="1"/>
  <c r="G12" i="18"/>
  <c r="K12" i="18" s="1"/>
  <c r="I11" i="18"/>
  <c r="L11" i="18" s="1"/>
  <c r="D9" i="19" s="1"/>
  <c r="G11" i="18"/>
  <c r="K11" i="18" s="1"/>
  <c r="C9" i="19" s="1"/>
  <c r="I10" i="18"/>
  <c r="L10" i="18" s="1"/>
  <c r="D5" i="19" s="1"/>
  <c r="G10" i="18"/>
  <c r="K10" i="18" s="1"/>
  <c r="C5" i="19" s="1"/>
  <c r="I9" i="18"/>
  <c r="L9" i="18" s="1"/>
  <c r="D8" i="19" s="1"/>
  <c r="G9" i="18"/>
  <c r="K9" i="18" s="1"/>
  <c r="C8" i="19" s="1"/>
  <c r="I8" i="18"/>
  <c r="L8" i="18" s="1"/>
  <c r="D7" i="19" s="1"/>
  <c r="G8" i="18"/>
  <c r="K8" i="18" s="1"/>
  <c r="C7" i="19" s="1"/>
  <c r="I7" i="18"/>
  <c r="L7" i="18" s="1"/>
  <c r="D6" i="19" s="1"/>
  <c r="G7" i="18"/>
  <c r="K7" i="18" s="1"/>
  <c r="C6" i="19" s="1"/>
  <c r="I6" i="18"/>
  <c r="L6" i="18" s="1"/>
  <c r="D4" i="19" s="1"/>
  <c r="G6" i="18"/>
  <c r="K6" i="18" s="1"/>
  <c r="C4" i="19" s="1"/>
  <c r="H5" i="19" l="1"/>
  <c r="H41" i="19" s="1"/>
  <c r="H6" i="19"/>
  <c r="H42" i="19" s="1"/>
  <c r="H7" i="19"/>
  <c r="H43" i="19" s="1"/>
  <c r="H8" i="19"/>
  <c r="H44" i="19" s="1"/>
  <c r="H9" i="19"/>
  <c r="H45" i="19" s="1"/>
  <c r="H10" i="19"/>
  <c r="H46" i="19" s="1"/>
  <c r="H11" i="19"/>
  <c r="H47" i="19" s="1"/>
  <c r="H12" i="19"/>
  <c r="H48" i="19" s="1"/>
  <c r="H13" i="19"/>
  <c r="H49" i="19" s="1"/>
  <c r="H14" i="19"/>
  <c r="H50" i="19" s="1"/>
  <c r="H15" i="19"/>
  <c r="H51" i="19" s="1"/>
  <c r="H16" i="19"/>
  <c r="H52" i="19" s="1"/>
  <c r="H17" i="19"/>
  <c r="H53" i="19" s="1"/>
  <c r="H18" i="19"/>
  <c r="H54" i="19" s="1"/>
  <c r="H4" i="19"/>
  <c r="H40" i="19" s="1"/>
  <c r="M54" i="19"/>
  <c r="L54" i="19"/>
  <c r="K54" i="19"/>
  <c r="J54" i="19"/>
  <c r="G54" i="19"/>
  <c r="F54" i="19"/>
  <c r="E54" i="19"/>
  <c r="M53" i="19"/>
  <c r="L53" i="19"/>
  <c r="K53" i="19"/>
  <c r="J53" i="19"/>
  <c r="G53" i="19"/>
  <c r="F53" i="19"/>
  <c r="E53" i="19"/>
  <c r="D53" i="19"/>
  <c r="C53" i="19"/>
  <c r="M52" i="19"/>
  <c r="L52" i="19"/>
  <c r="K52" i="19"/>
  <c r="J52" i="19"/>
  <c r="G52" i="19"/>
  <c r="F52" i="19"/>
  <c r="E52" i="19"/>
  <c r="D52" i="19"/>
  <c r="C52" i="19"/>
  <c r="M51" i="19"/>
  <c r="L51" i="19"/>
  <c r="K51" i="19"/>
  <c r="J51" i="19"/>
  <c r="G51" i="19"/>
  <c r="F51" i="19"/>
  <c r="E51" i="19"/>
  <c r="D51" i="19"/>
  <c r="C51" i="19"/>
  <c r="M50" i="19"/>
  <c r="L50" i="19"/>
  <c r="K50" i="19"/>
  <c r="J50" i="19"/>
  <c r="G50" i="19"/>
  <c r="F50" i="19"/>
  <c r="E50" i="19"/>
  <c r="D50" i="19"/>
  <c r="C50" i="19"/>
  <c r="M49" i="19"/>
  <c r="L49" i="19"/>
  <c r="K49" i="19"/>
  <c r="J49" i="19"/>
  <c r="I49" i="19"/>
  <c r="G49" i="19"/>
  <c r="F49" i="19"/>
  <c r="E49" i="19"/>
  <c r="D49" i="19"/>
  <c r="C49" i="19"/>
  <c r="M48" i="19"/>
  <c r="L48" i="19"/>
  <c r="K48" i="19"/>
  <c r="J48" i="19"/>
  <c r="I48" i="19"/>
  <c r="G48" i="19"/>
  <c r="F48" i="19"/>
  <c r="E48" i="19"/>
  <c r="D48" i="19"/>
  <c r="C48" i="19"/>
  <c r="M47" i="19"/>
  <c r="L47" i="19"/>
  <c r="K47" i="19"/>
  <c r="J47" i="19"/>
  <c r="I47" i="19"/>
  <c r="G47" i="19"/>
  <c r="F47" i="19"/>
  <c r="E47" i="19"/>
  <c r="D47" i="19"/>
  <c r="C47" i="19"/>
  <c r="M46" i="19"/>
  <c r="L46" i="19"/>
  <c r="K46" i="19"/>
  <c r="J46" i="19"/>
  <c r="I46" i="19"/>
  <c r="G46" i="19"/>
  <c r="F46" i="19"/>
  <c r="E46" i="19"/>
  <c r="D46" i="19"/>
  <c r="C46" i="19"/>
  <c r="M45" i="19"/>
  <c r="L45" i="19"/>
  <c r="K45" i="19"/>
  <c r="J45" i="19"/>
  <c r="I45" i="19"/>
  <c r="G45" i="19"/>
  <c r="F45" i="19"/>
  <c r="E45" i="19"/>
  <c r="D45" i="19"/>
  <c r="C45" i="19"/>
  <c r="M44" i="19"/>
  <c r="L44" i="19"/>
  <c r="K44" i="19"/>
  <c r="J44" i="19"/>
  <c r="I44" i="19"/>
  <c r="G44" i="19"/>
  <c r="F44" i="19"/>
  <c r="E44" i="19"/>
  <c r="D44" i="19"/>
  <c r="C44" i="19"/>
  <c r="M43" i="19"/>
  <c r="L43" i="19"/>
  <c r="K43" i="19"/>
  <c r="J43" i="19"/>
  <c r="I43" i="19"/>
  <c r="G43" i="19"/>
  <c r="F43" i="19"/>
  <c r="E43" i="19"/>
  <c r="D43" i="19"/>
  <c r="C43" i="19"/>
  <c r="M42" i="19"/>
  <c r="L42" i="19"/>
  <c r="K42" i="19"/>
  <c r="J42" i="19"/>
  <c r="I42" i="19"/>
  <c r="G42" i="19"/>
  <c r="F42" i="19"/>
  <c r="E42" i="19"/>
  <c r="D42" i="19"/>
  <c r="C42" i="19"/>
  <c r="M41" i="19"/>
  <c r="L41" i="19"/>
  <c r="K41" i="19"/>
  <c r="J41" i="19"/>
  <c r="I41" i="19"/>
  <c r="G41" i="19"/>
  <c r="F41" i="19"/>
  <c r="D41" i="19"/>
  <c r="C41" i="19"/>
  <c r="M40" i="19"/>
  <c r="L40" i="19"/>
  <c r="K40" i="19"/>
  <c r="J40" i="19"/>
  <c r="I40" i="19"/>
  <c r="G40" i="19"/>
  <c r="F40" i="19"/>
  <c r="E40" i="19"/>
  <c r="D40" i="19"/>
  <c r="C40" i="19"/>
  <c r="N36" i="19"/>
  <c r="N35" i="19"/>
  <c r="N34" i="19"/>
  <c r="N33" i="19"/>
  <c r="N32" i="19"/>
  <c r="N31" i="19"/>
  <c r="N30" i="19"/>
  <c r="N29" i="19"/>
  <c r="N28" i="19"/>
  <c r="N27" i="19"/>
  <c r="N26" i="19"/>
  <c r="N25" i="19"/>
  <c r="N24" i="19"/>
  <c r="N23" i="19"/>
  <c r="N22" i="19"/>
  <c r="N52" i="19" l="1"/>
  <c r="D70" i="19" s="1"/>
  <c r="N44" i="19"/>
  <c r="D62" i="19" s="1"/>
  <c r="N51" i="19"/>
  <c r="D69" i="19" s="1"/>
  <c r="N49" i="19"/>
  <c r="D67" i="19" s="1"/>
  <c r="N50" i="19"/>
  <c r="D68" i="19" s="1"/>
  <c r="N40" i="19"/>
  <c r="D59" i="19" s="1"/>
  <c r="N48" i="19"/>
  <c r="D66" i="19" s="1"/>
  <c r="N47" i="19"/>
  <c r="D65" i="19" s="1"/>
  <c r="N43" i="19"/>
  <c r="D61" i="19" s="1"/>
  <c r="N42" i="19"/>
  <c r="D60" i="19" s="1"/>
  <c r="N41" i="19"/>
  <c r="D73" i="19" s="1"/>
  <c r="N53" i="19"/>
  <c r="D71" i="19" s="1"/>
  <c r="N46" i="19"/>
  <c r="D64" i="19" s="1"/>
  <c r="N45" i="19"/>
  <c r="D63" i="19" s="1"/>
  <c r="N54" i="19"/>
  <c r="D72" i="19" s="1"/>
  <c r="C91" i="15"/>
  <c r="C89" i="15" l="1"/>
  <c r="K46" i="15" l="1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45" i="15"/>
  <c r="I77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4" i="15"/>
  <c r="BN7" i="15"/>
  <c r="BN8" i="15"/>
  <c r="BN9" i="15"/>
  <c r="BN10" i="15"/>
  <c r="BN11" i="15"/>
  <c r="BN12" i="15"/>
  <c r="BN13" i="15"/>
  <c r="BN14" i="15"/>
  <c r="BN15" i="15"/>
  <c r="BN16" i="15"/>
  <c r="BN17" i="15"/>
  <c r="BN18" i="15"/>
  <c r="BN19" i="15"/>
  <c r="BN20" i="15"/>
  <c r="BN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6" i="15"/>
  <c r="AC18" i="15"/>
  <c r="AC17" i="15"/>
  <c r="AC16" i="15"/>
  <c r="AC15" i="15"/>
  <c r="AC14" i="15"/>
  <c r="AC13" i="15"/>
  <c r="AC12" i="15"/>
  <c r="AC11" i="15"/>
  <c r="AC10" i="15"/>
  <c r="AC9" i="15"/>
  <c r="AC8" i="15"/>
  <c r="AC7" i="15"/>
  <c r="AC6" i="15"/>
  <c r="AC5" i="15"/>
  <c r="AC4" i="15"/>
  <c r="BJ40" i="15"/>
  <c r="BJ39" i="15"/>
  <c r="BI40" i="15"/>
  <c r="BI39" i="15"/>
  <c r="BA40" i="15"/>
  <c r="BB40" i="15"/>
  <c r="BC40" i="15"/>
  <c r="BD40" i="15"/>
  <c r="BE40" i="15"/>
  <c r="BF40" i="15"/>
  <c r="BG40" i="15"/>
  <c r="BH40" i="15"/>
  <c r="BA39" i="15"/>
  <c r="BB39" i="15"/>
  <c r="BC39" i="15"/>
  <c r="BD39" i="15"/>
  <c r="BE39" i="15"/>
  <c r="BF39" i="15"/>
  <c r="BG39" i="15"/>
  <c r="BH39" i="15"/>
  <c r="AZ40" i="15"/>
  <c r="AZ39" i="15"/>
  <c r="BJ7" i="15"/>
  <c r="BJ8" i="15"/>
  <c r="BJ9" i="15"/>
  <c r="BJ10" i="15"/>
  <c r="BJ11" i="15"/>
  <c r="BJ12" i="15"/>
  <c r="BJ13" i="15"/>
  <c r="BJ14" i="15"/>
  <c r="BJ15" i="15"/>
  <c r="BJ16" i="15"/>
  <c r="BJ17" i="15"/>
  <c r="BJ18" i="15"/>
  <c r="BJ19" i="15"/>
  <c r="BJ20" i="15"/>
  <c r="BJ21" i="15"/>
  <c r="BJ22" i="15"/>
  <c r="BJ23" i="15"/>
  <c r="BJ24" i="15"/>
  <c r="BJ25" i="15"/>
  <c r="BJ26" i="15"/>
  <c r="BJ27" i="15"/>
  <c r="BJ28" i="15"/>
  <c r="BJ29" i="15"/>
  <c r="BJ30" i="15"/>
  <c r="BJ31" i="15"/>
  <c r="BJ32" i="15"/>
  <c r="BJ33" i="15"/>
  <c r="BJ34" i="15"/>
  <c r="BJ35" i="15"/>
  <c r="BJ36" i="15"/>
  <c r="BJ37" i="15"/>
  <c r="BJ6" i="15"/>
  <c r="BH7" i="15" l="1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6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4" i="15"/>
  <c r="T18" i="15"/>
  <c r="T17" i="15"/>
  <c r="T16" i="15"/>
  <c r="T15" i="15"/>
  <c r="T14" i="15"/>
  <c r="T13" i="15"/>
  <c r="T12" i="15"/>
  <c r="T11" i="15"/>
  <c r="T10" i="15"/>
  <c r="T9" i="15"/>
  <c r="T8" i="15"/>
  <c r="T7" i="15"/>
  <c r="T6" i="15"/>
  <c r="T5" i="15"/>
  <c r="T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4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9" i="15"/>
  <c r="AV40" i="15"/>
  <c r="AV6" i="15"/>
  <c r="AU40" i="15"/>
  <c r="AU39" i="15"/>
  <c r="AT40" i="15"/>
  <c r="AT39" i="15"/>
  <c r="AS40" i="15"/>
  <c r="AS39" i="15"/>
  <c r="AR40" i="15"/>
  <c r="AR39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6" i="15"/>
  <c r="AO40" i="15"/>
  <c r="AO39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6" i="15"/>
  <c r="AO27" i="15"/>
  <c r="AO28" i="15"/>
  <c r="AO29" i="15"/>
  <c r="AO30" i="15"/>
  <c r="AO31" i="15"/>
  <c r="AO32" i="15"/>
  <c r="AO33" i="15"/>
  <c r="AO34" i="15"/>
  <c r="AO35" i="15"/>
  <c r="AO36" i="15"/>
  <c r="AO37" i="15"/>
  <c r="AO6" i="15"/>
  <c r="AM40" i="15"/>
  <c r="AN40" i="15" s="1"/>
  <c r="AM39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9" i="15"/>
  <c r="AN6" i="15"/>
  <c r="AG40" i="15"/>
  <c r="AG39" i="15"/>
  <c r="AH39" i="15" s="1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40" i="15"/>
  <c r="AH6" i="15"/>
  <c r="M66" i="15" l="1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6" i="15"/>
  <c r="M7" i="15"/>
  <c r="M9" i="15"/>
  <c r="M13" i="15"/>
  <c r="AK40" i="15"/>
  <c r="AF40" i="15"/>
  <c r="AF39" i="15"/>
  <c r="AK39" i="15"/>
  <c r="AL39" i="15" s="1"/>
  <c r="M18" i="15" s="1"/>
  <c r="AL7" i="15"/>
  <c r="AL8" i="15"/>
  <c r="AL9" i="15"/>
  <c r="AL10" i="15"/>
  <c r="AL11" i="15"/>
  <c r="AL12" i="15"/>
  <c r="AL13" i="15"/>
  <c r="M17" i="15" s="1"/>
  <c r="AL14" i="15"/>
  <c r="M4" i="15" s="1"/>
  <c r="AL15" i="15"/>
  <c r="M5" i="15" s="1"/>
  <c r="AL16" i="15"/>
  <c r="AL17" i="15"/>
  <c r="AL18" i="15"/>
  <c r="M12" i="15" s="1"/>
  <c r="AL19" i="15"/>
  <c r="AL20" i="15"/>
  <c r="M10" i="15" s="1"/>
  <c r="AL21" i="15"/>
  <c r="AL22" i="15"/>
  <c r="AL23" i="15"/>
  <c r="AL24" i="15"/>
  <c r="AL25" i="15"/>
  <c r="AL26" i="15"/>
  <c r="AL27" i="15"/>
  <c r="M16" i="15" s="1"/>
  <c r="AL28" i="15"/>
  <c r="M6" i="15" s="1"/>
  <c r="AL29" i="15"/>
  <c r="M8" i="15" s="1"/>
  <c r="AL30" i="15"/>
  <c r="M11" i="15" s="1"/>
  <c r="AL31" i="15"/>
  <c r="AL32" i="15"/>
  <c r="AL33" i="15"/>
  <c r="AL34" i="15"/>
  <c r="AL35" i="15"/>
  <c r="AL36" i="15"/>
  <c r="AL37" i="15"/>
  <c r="M14" i="15" s="1"/>
  <c r="AL6" i="15"/>
  <c r="AK38" i="15"/>
  <c r="AF38" i="15"/>
  <c r="AL40" i="15" l="1"/>
  <c r="M15" i="15" s="1"/>
  <c r="X76" i="15"/>
  <c r="W76" i="15"/>
  <c r="T76" i="15"/>
  <c r="S76" i="15"/>
  <c r="X75" i="15"/>
  <c r="W75" i="15"/>
  <c r="L5" i="16"/>
  <c r="L16" i="16"/>
  <c r="V46" i="15"/>
  <c r="V47" i="15"/>
  <c r="L7" i="16" s="1"/>
  <c r="V48" i="15"/>
  <c r="L15" i="16" s="1"/>
  <c r="V49" i="15"/>
  <c r="L9" i="16" s="1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L8" i="16" s="1"/>
  <c r="V64" i="15"/>
  <c r="L14" i="16" s="1"/>
  <c r="V65" i="15"/>
  <c r="L10" i="16" s="1"/>
  <c r="V66" i="15"/>
  <c r="L11" i="16" s="1"/>
  <c r="V67" i="15"/>
  <c r="L12" i="16" s="1"/>
  <c r="V68" i="15"/>
  <c r="V69" i="15"/>
  <c r="V70" i="15"/>
  <c r="V71" i="15"/>
  <c r="L13" i="16" s="1"/>
  <c r="V72" i="15"/>
  <c r="V73" i="15"/>
  <c r="V74" i="15"/>
  <c r="L6" i="16" s="1"/>
  <c r="V45" i="15"/>
  <c r="L4" i="16" s="1"/>
  <c r="R76" i="15" l="1"/>
  <c r="U75" i="15"/>
  <c r="U76" i="15"/>
  <c r="V76" i="15" s="1"/>
  <c r="L17" i="16" s="1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4" i="16"/>
  <c r="T75" i="15" l="1"/>
  <c r="S75" i="15"/>
  <c r="R75" i="15" s="1"/>
  <c r="V75" i="15" s="1"/>
  <c r="L18" i="16" s="1"/>
  <c r="N77" i="15"/>
  <c r="M77" i="15"/>
  <c r="N76" i="15"/>
  <c r="M76" i="15"/>
  <c r="O45" i="15"/>
  <c r="O46" i="15"/>
  <c r="O47" i="15"/>
  <c r="O48" i="15"/>
  <c r="O49" i="15"/>
  <c r="O50" i="15"/>
  <c r="O51" i="15"/>
  <c r="M16" i="16" s="1"/>
  <c r="O52" i="15"/>
  <c r="M4" i="16" s="1"/>
  <c r="O53" i="15"/>
  <c r="M6" i="16" s="1"/>
  <c r="O54" i="15"/>
  <c r="O55" i="15"/>
  <c r="O56" i="15"/>
  <c r="M13" i="16" s="1"/>
  <c r="O57" i="15"/>
  <c r="M7" i="16" s="1"/>
  <c r="O58" i="15"/>
  <c r="M10" i="16" s="1"/>
  <c r="O59" i="15"/>
  <c r="O60" i="15"/>
  <c r="O61" i="15"/>
  <c r="M14" i="16" s="1"/>
  <c r="O62" i="15"/>
  <c r="O63" i="15"/>
  <c r="M11" i="16" s="1"/>
  <c r="O64" i="15"/>
  <c r="O65" i="15"/>
  <c r="M12" i="16" s="1"/>
  <c r="O66" i="15"/>
  <c r="M5" i="16" s="1"/>
  <c r="O67" i="15"/>
  <c r="M8" i="16" s="1"/>
  <c r="O68" i="15"/>
  <c r="M15" i="16" s="1"/>
  <c r="O69" i="15"/>
  <c r="O70" i="15"/>
  <c r="O71" i="15"/>
  <c r="O72" i="15"/>
  <c r="O73" i="15"/>
  <c r="O74" i="15"/>
  <c r="O75" i="15"/>
  <c r="M9" i="16" s="1"/>
  <c r="O44" i="15"/>
  <c r="K10" i="16"/>
  <c r="K11" i="16"/>
  <c r="I76" i="15"/>
  <c r="H76" i="15"/>
  <c r="I75" i="15"/>
  <c r="H75" i="15"/>
  <c r="J46" i="15"/>
  <c r="K16" i="16" s="1"/>
  <c r="J47" i="15"/>
  <c r="K7" i="16" s="1"/>
  <c r="J48" i="15"/>
  <c r="K15" i="16" s="1"/>
  <c r="J49" i="15"/>
  <c r="K9" i="16" s="1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K8" i="16" s="1"/>
  <c r="J64" i="15"/>
  <c r="K14" i="16" s="1"/>
  <c r="J65" i="15"/>
  <c r="J66" i="15"/>
  <c r="J67" i="15"/>
  <c r="K12" i="16" s="1"/>
  <c r="J68" i="15"/>
  <c r="J69" i="15"/>
  <c r="J70" i="15"/>
  <c r="J71" i="15"/>
  <c r="K13" i="16" s="1"/>
  <c r="J72" i="15"/>
  <c r="J73" i="15"/>
  <c r="K5" i="16" s="1"/>
  <c r="J74" i="15"/>
  <c r="K6" i="16" s="1"/>
  <c r="J45" i="15"/>
  <c r="K4" i="16" s="1"/>
  <c r="O77" i="15" l="1"/>
  <c r="M17" i="16" s="1"/>
  <c r="J75" i="15"/>
  <c r="K18" i="16" s="1"/>
  <c r="O76" i="15"/>
  <c r="M18" i="16" s="1"/>
  <c r="J76" i="15"/>
  <c r="K17" i="16" s="1"/>
  <c r="C78" i="15" l="1"/>
  <c r="C77" i="15"/>
  <c r="C76" i="15"/>
  <c r="D54" i="15" s="1"/>
  <c r="D61" i="15" l="1"/>
  <c r="D60" i="15"/>
  <c r="D53" i="15"/>
  <c r="O26" i="15" s="1"/>
  <c r="D52" i="15"/>
  <c r="D51" i="15"/>
  <c r="O38" i="15" s="1"/>
  <c r="D47" i="15"/>
  <c r="D46" i="15"/>
  <c r="D66" i="15"/>
  <c r="D65" i="15"/>
  <c r="O37" i="15" s="1"/>
  <c r="D77" i="15"/>
  <c r="Y38" i="15" s="1"/>
  <c r="D75" i="15"/>
  <c r="E30" i="15" s="1"/>
  <c r="D78" i="15"/>
  <c r="T39" i="15" s="1"/>
  <c r="D74" i="15"/>
  <c r="J38" i="15"/>
  <c r="D73" i="15"/>
  <c r="D67" i="15"/>
  <c r="E28" i="15" s="1"/>
  <c r="E59" i="16"/>
  <c r="Y25" i="15"/>
  <c r="T25" i="15"/>
  <c r="D64" i="15"/>
  <c r="D50" i="15"/>
  <c r="E60" i="16"/>
  <c r="Y27" i="15"/>
  <c r="T26" i="15"/>
  <c r="Y37" i="15"/>
  <c r="E70" i="16"/>
  <c r="T38" i="15"/>
  <c r="D63" i="15"/>
  <c r="Y35" i="15"/>
  <c r="E68" i="16"/>
  <c r="T30" i="15"/>
  <c r="E33" i="15"/>
  <c r="E31" i="15"/>
  <c r="D49" i="15"/>
  <c r="D44" i="15"/>
  <c r="D62" i="15"/>
  <c r="D48" i="15"/>
  <c r="D59" i="15"/>
  <c r="D45" i="15"/>
  <c r="J30" i="15"/>
  <c r="E25" i="15"/>
  <c r="O30" i="15"/>
  <c r="D71" i="15"/>
  <c r="D57" i="15"/>
  <c r="D70" i="15"/>
  <c r="J25" i="15"/>
  <c r="E26" i="15"/>
  <c r="D72" i="15"/>
  <c r="D58" i="15"/>
  <c r="D56" i="15"/>
  <c r="D69" i="15"/>
  <c r="D55" i="15"/>
  <c r="E35" i="15"/>
  <c r="J26" i="15"/>
  <c r="D68" i="15"/>
  <c r="O25" i="15"/>
  <c r="C53" i="16"/>
  <c r="D53" i="16"/>
  <c r="M54" i="16"/>
  <c r="J54" i="16"/>
  <c r="H54" i="16"/>
  <c r="G54" i="16"/>
  <c r="F54" i="16"/>
  <c r="E54" i="16"/>
  <c r="M53" i="16"/>
  <c r="L53" i="16"/>
  <c r="K53" i="16"/>
  <c r="J53" i="16"/>
  <c r="H53" i="16"/>
  <c r="G53" i="16"/>
  <c r="F53" i="16"/>
  <c r="E53" i="16"/>
  <c r="M52" i="16"/>
  <c r="J52" i="16"/>
  <c r="H52" i="16"/>
  <c r="G52" i="16"/>
  <c r="F52" i="16"/>
  <c r="E52" i="16"/>
  <c r="M51" i="16"/>
  <c r="J51" i="16"/>
  <c r="H51" i="16"/>
  <c r="G51" i="16"/>
  <c r="F51" i="16"/>
  <c r="E51" i="16"/>
  <c r="M50" i="16"/>
  <c r="J50" i="16"/>
  <c r="H50" i="16"/>
  <c r="G50" i="16"/>
  <c r="F50" i="16"/>
  <c r="E50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J48" i="16"/>
  <c r="I48" i="16"/>
  <c r="H48" i="16"/>
  <c r="G48" i="16"/>
  <c r="F48" i="16"/>
  <c r="E48" i="16"/>
  <c r="M47" i="16"/>
  <c r="K47" i="16"/>
  <c r="J47" i="16"/>
  <c r="I47" i="16"/>
  <c r="H47" i="16"/>
  <c r="G47" i="16"/>
  <c r="F47" i="16"/>
  <c r="E47" i="16"/>
  <c r="M46" i="16"/>
  <c r="J46" i="16"/>
  <c r="I46" i="16"/>
  <c r="H46" i="16"/>
  <c r="G46" i="16"/>
  <c r="F46" i="16"/>
  <c r="E46" i="16"/>
  <c r="M45" i="16"/>
  <c r="J45" i="16"/>
  <c r="I45" i="16"/>
  <c r="H45" i="16"/>
  <c r="G45" i="16"/>
  <c r="F45" i="16"/>
  <c r="E45" i="16"/>
  <c r="M44" i="16"/>
  <c r="J44" i="16"/>
  <c r="I44" i="16"/>
  <c r="H44" i="16"/>
  <c r="G44" i="16"/>
  <c r="F44" i="16"/>
  <c r="E44" i="16"/>
  <c r="M43" i="16"/>
  <c r="J43" i="16"/>
  <c r="I43" i="16"/>
  <c r="H43" i="16"/>
  <c r="G43" i="16"/>
  <c r="F43" i="16"/>
  <c r="E43" i="16"/>
  <c r="M42" i="16"/>
  <c r="L42" i="16"/>
  <c r="K42" i="16"/>
  <c r="J42" i="16"/>
  <c r="I42" i="16"/>
  <c r="H42" i="16"/>
  <c r="G42" i="16"/>
  <c r="F42" i="16"/>
  <c r="E42" i="16"/>
  <c r="M41" i="16"/>
  <c r="L41" i="16"/>
  <c r="K41" i="16"/>
  <c r="J41" i="16"/>
  <c r="I41" i="16"/>
  <c r="H41" i="16"/>
  <c r="G41" i="16"/>
  <c r="F41" i="16"/>
  <c r="E41" i="16"/>
  <c r="M40" i="16"/>
  <c r="K40" i="16"/>
  <c r="J40" i="16"/>
  <c r="I40" i="16"/>
  <c r="H40" i="16"/>
  <c r="G40" i="16"/>
  <c r="F40" i="16"/>
  <c r="E40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L54" i="16"/>
  <c r="K54" i="16"/>
  <c r="L52" i="16"/>
  <c r="K52" i="16"/>
  <c r="L51" i="16"/>
  <c r="K51" i="16"/>
  <c r="L50" i="16"/>
  <c r="K50" i="16"/>
  <c r="L47" i="16"/>
  <c r="L46" i="16"/>
  <c r="K46" i="16"/>
  <c r="L45" i="16"/>
  <c r="K45" i="16"/>
  <c r="L44" i="16"/>
  <c r="K44" i="16"/>
  <c r="L43" i="16"/>
  <c r="K43" i="16"/>
  <c r="L40" i="16"/>
  <c r="C5" i="15"/>
  <c r="G5" i="15" s="1"/>
  <c r="C6" i="16" s="1"/>
  <c r="C42" i="16" s="1"/>
  <c r="C6" i="15"/>
  <c r="G6" i="15" s="1"/>
  <c r="C7" i="16" s="1"/>
  <c r="C43" i="16" s="1"/>
  <c r="C7" i="15"/>
  <c r="G7" i="15" s="1"/>
  <c r="C8" i="16" s="1"/>
  <c r="C44" i="16" s="1"/>
  <c r="C8" i="15"/>
  <c r="G8" i="15" s="1"/>
  <c r="C5" i="16" s="1"/>
  <c r="C41" i="16" s="1"/>
  <c r="C9" i="15"/>
  <c r="G9" i="15" s="1"/>
  <c r="C9" i="16" s="1"/>
  <c r="C45" i="16" s="1"/>
  <c r="C10" i="15"/>
  <c r="G10" i="15" s="1"/>
  <c r="C11" i="15"/>
  <c r="G11" i="15" s="1"/>
  <c r="C16" i="16" s="1"/>
  <c r="C52" i="16" s="1"/>
  <c r="C12" i="15"/>
  <c r="G12" i="15" s="1"/>
  <c r="C10" i="16" s="1"/>
  <c r="C46" i="16" s="1"/>
  <c r="C13" i="15"/>
  <c r="G13" i="15" s="1"/>
  <c r="C14" i="16" s="1"/>
  <c r="C50" i="16" s="1"/>
  <c r="C14" i="15"/>
  <c r="G14" i="15" s="1"/>
  <c r="C11" i="16" s="1"/>
  <c r="C47" i="16" s="1"/>
  <c r="C15" i="15"/>
  <c r="G15" i="15" s="1"/>
  <c r="C12" i="16" s="1"/>
  <c r="C48" i="16" s="1"/>
  <c r="C16" i="15"/>
  <c r="G16" i="15" s="1"/>
  <c r="C15" i="16" s="1"/>
  <c r="C51" i="16" s="1"/>
  <c r="C17" i="15"/>
  <c r="G17" i="15" s="1"/>
  <c r="C13" i="16" s="1"/>
  <c r="C49" i="16" s="1"/>
  <c r="C18" i="15"/>
  <c r="G18" i="15" s="1"/>
  <c r="C19" i="15"/>
  <c r="G19" i="15" s="1"/>
  <c r="E5" i="15"/>
  <c r="H5" i="15" s="1"/>
  <c r="D6" i="16" s="1"/>
  <c r="D42" i="16" s="1"/>
  <c r="E6" i="15"/>
  <c r="H6" i="15" s="1"/>
  <c r="D7" i="16" s="1"/>
  <c r="D43" i="16" s="1"/>
  <c r="E7" i="15"/>
  <c r="H7" i="15" s="1"/>
  <c r="D8" i="16" s="1"/>
  <c r="D44" i="16" s="1"/>
  <c r="E8" i="15"/>
  <c r="H8" i="15" s="1"/>
  <c r="D5" i="16" s="1"/>
  <c r="D41" i="16" s="1"/>
  <c r="E9" i="15"/>
  <c r="H9" i="15" s="1"/>
  <c r="D9" i="16" s="1"/>
  <c r="D45" i="16" s="1"/>
  <c r="E10" i="15"/>
  <c r="H10" i="15" s="1"/>
  <c r="E11" i="15"/>
  <c r="H11" i="15" s="1"/>
  <c r="D16" i="16" s="1"/>
  <c r="D52" i="16" s="1"/>
  <c r="E12" i="15"/>
  <c r="H12" i="15" s="1"/>
  <c r="D10" i="16" s="1"/>
  <c r="D46" i="16" s="1"/>
  <c r="E13" i="15"/>
  <c r="H13" i="15" s="1"/>
  <c r="D14" i="16" s="1"/>
  <c r="D50" i="16" s="1"/>
  <c r="E14" i="15"/>
  <c r="H14" i="15" s="1"/>
  <c r="D11" i="16" s="1"/>
  <c r="D47" i="16" s="1"/>
  <c r="E15" i="15"/>
  <c r="H15" i="15" s="1"/>
  <c r="D12" i="16" s="1"/>
  <c r="D48" i="16" s="1"/>
  <c r="E16" i="15"/>
  <c r="H16" i="15" s="1"/>
  <c r="D15" i="16" s="1"/>
  <c r="D51" i="16" s="1"/>
  <c r="E17" i="15"/>
  <c r="H17" i="15" s="1"/>
  <c r="D13" i="16" s="1"/>
  <c r="D49" i="16" s="1"/>
  <c r="E18" i="15"/>
  <c r="H18" i="15" s="1"/>
  <c r="E19" i="15"/>
  <c r="H19" i="15" s="1"/>
  <c r="C4" i="15"/>
  <c r="G4" i="15" s="1"/>
  <c r="C4" i="16" s="1"/>
  <c r="C40" i="16" s="1"/>
  <c r="E4" i="15"/>
  <c r="H4" i="15" s="1"/>
  <c r="D4" i="16" s="1"/>
  <c r="D40" i="16" s="1"/>
  <c r="E29" i="15" l="1"/>
  <c r="E73" i="16"/>
  <c r="O35" i="15"/>
  <c r="O27" i="15"/>
  <c r="E63" i="16"/>
  <c r="T37" i="15"/>
  <c r="E72" i="16"/>
  <c r="Y33" i="15"/>
  <c r="Y39" i="15"/>
  <c r="T35" i="15"/>
  <c r="Y30" i="15"/>
  <c r="J27" i="15"/>
  <c r="T27" i="15"/>
  <c r="J35" i="15"/>
  <c r="O39" i="15"/>
  <c r="J39" i="15"/>
  <c r="E66" i="16"/>
  <c r="Y26" i="15"/>
  <c r="J37" i="15"/>
  <c r="T29" i="15"/>
  <c r="J29" i="15"/>
  <c r="Y29" i="15"/>
  <c r="T36" i="15"/>
  <c r="O29" i="15"/>
  <c r="O36" i="15"/>
  <c r="E71" i="16"/>
  <c r="E62" i="16"/>
  <c r="J36" i="15"/>
  <c r="Y34" i="15"/>
  <c r="E67" i="16"/>
  <c r="T33" i="15"/>
  <c r="E37" i="15"/>
  <c r="O33" i="15"/>
  <c r="J33" i="15"/>
  <c r="Y32" i="15"/>
  <c r="E65" i="16"/>
  <c r="T28" i="15"/>
  <c r="E34" i="15"/>
  <c r="O28" i="15"/>
  <c r="J28" i="15"/>
  <c r="E69" i="16"/>
  <c r="Y36" i="15"/>
  <c r="T32" i="15"/>
  <c r="E36" i="15"/>
  <c r="O32" i="15"/>
  <c r="J32" i="15"/>
  <c r="Y28" i="15"/>
  <c r="E61" i="16"/>
  <c r="T34" i="15"/>
  <c r="E27" i="15"/>
  <c r="O34" i="15"/>
  <c r="J34" i="15"/>
  <c r="E64" i="16"/>
  <c r="Y31" i="15"/>
  <c r="T31" i="15"/>
  <c r="O31" i="15"/>
  <c r="J31" i="15"/>
  <c r="E32" i="15"/>
  <c r="N47" i="16"/>
  <c r="D65" i="16" s="1"/>
  <c r="N50" i="16"/>
  <c r="D68" i="16" s="1"/>
  <c r="N48" i="16"/>
  <c r="D66" i="16" s="1"/>
  <c r="N42" i="16"/>
  <c r="D60" i="16" s="1"/>
  <c r="N40" i="16"/>
  <c r="D59" i="16" s="1"/>
  <c r="N46" i="16"/>
  <c r="D64" i="16" s="1"/>
  <c r="N43" i="16"/>
  <c r="D61" i="16" s="1"/>
  <c r="N54" i="16"/>
  <c r="D72" i="16" s="1"/>
  <c r="N41" i="16"/>
  <c r="D73" i="16" s="1"/>
  <c r="N52" i="16"/>
  <c r="D70" i="16" s="1"/>
  <c r="N53" i="16"/>
  <c r="D71" i="16" s="1"/>
  <c r="N44" i="16"/>
  <c r="D62" i="16" s="1"/>
  <c r="N49" i="16"/>
  <c r="D67" i="16" s="1"/>
  <c r="N51" i="16"/>
  <c r="D69" i="16" s="1"/>
  <c r="N45" i="16"/>
  <c r="D63" i="16" s="1"/>
  <c r="Q6" i="14" l="1"/>
  <c r="P10" i="14"/>
  <c r="P7" i="14"/>
  <c r="P71" i="11"/>
  <c r="L5" i="14"/>
  <c r="L41" i="14" s="1"/>
  <c r="L6" i="14"/>
  <c r="L42" i="14" s="1"/>
  <c r="L7" i="14"/>
  <c r="L43" i="14" s="1"/>
  <c r="L8" i="14"/>
  <c r="L44" i="14" s="1"/>
  <c r="L9" i="14"/>
  <c r="L45" i="14" s="1"/>
  <c r="L10" i="14"/>
  <c r="L46" i="14" s="1"/>
  <c r="L11" i="14"/>
  <c r="L47" i="14" s="1"/>
  <c r="L12" i="14"/>
  <c r="L48" i="14" s="1"/>
  <c r="L13" i="14"/>
  <c r="L49" i="14" s="1"/>
  <c r="L14" i="14"/>
  <c r="L50" i="14" s="1"/>
  <c r="L15" i="14"/>
  <c r="L16" i="14"/>
  <c r="L52" i="14" s="1"/>
  <c r="L17" i="14"/>
  <c r="L53" i="14" s="1"/>
  <c r="L18" i="14"/>
  <c r="L54" i="14" s="1"/>
  <c r="K5" i="14"/>
  <c r="K41" i="14" s="1"/>
  <c r="K6" i="14"/>
  <c r="K7" i="14"/>
  <c r="K43" i="14" s="1"/>
  <c r="K8" i="14"/>
  <c r="K44" i="14" s="1"/>
  <c r="K9" i="14"/>
  <c r="K45" i="14" s="1"/>
  <c r="K10" i="14"/>
  <c r="K11" i="14"/>
  <c r="K47" i="14" s="1"/>
  <c r="K12" i="14"/>
  <c r="K48" i="14" s="1"/>
  <c r="K49" i="14"/>
  <c r="K14" i="14"/>
  <c r="K50" i="14" s="1"/>
  <c r="K15" i="14"/>
  <c r="K51" i="14" s="1"/>
  <c r="K16" i="14"/>
  <c r="K52" i="14" s="1"/>
  <c r="K17" i="14"/>
  <c r="K53" i="14" s="1"/>
  <c r="K18" i="14"/>
  <c r="K54" i="14" s="1"/>
  <c r="K4" i="14"/>
  <c r="K40" i="14" s="1"/>
  <c r="L4" i="14"/>
  <c r="L40" i="14" s="1"/>
  <c r="M49" i="14"/>
  <c r="G49" i="14"/>
  <c r="F49" i="14"/>
  <c r="M54" i="14"/>
  <c r="J54" i="14"/>
  <c r="H54" i="14"/>
  <c r="G54" i="14"/>
  <c r="F54" i="14"/>
  <c r="E54" i="14"/>
  <c r="M53" i="14"/>
  <c r="J53" i="14"/>
  <c r="H53" i="14"/>
  <c r="G53" i="14"/>
  <c r="F53" i="14"/>
  <c r="E53" i="14"/>
  <c r="D53" i="14"/>
  <c r="C53" i="14"/>
  <c r="M52" i="14"/>
  <c r="J52" i="14"/>
  <c r="H52" i="14"/>
  <c r="G52" i="14"/>
  <c r="F52" i="14"/>
  <c r="E52" i="14"/>
  <c r="D52" i="14"/>
  <c r="C52" i="14"/>
  <c r="M51" i="14"/>
  <c r="L51" i="14"/>
  <c r="J51" i="14"/>
  <c r="H51" i="14"/>
  <c r="G51" i="14"/>
  <c r="F51" i="14"/>
  <c r="E51" i="14"/>
  <c r="D51" i="14"/>
  <c r="C51" i="14"/>
  <c r="M50" i="14"/>
  <c r="J50" i="14"/>
  <c r="H50" i="14"/>
  <c r="G50" i="14"/>
  <c r="F50" i="14"/>
  <c r="E50" i="14"/>
  <c r="D50" i="14"/>
  <c r="C50" i="14"/>
  <c r="J49" i="14"/>
  <c r="I49" i="14"/>
  <c r="H49" i="14"/>
  <c r="E49" i="14"/>
  <c r="D49" i="14"/>
  <c r="C49" i="14"/>
  <c r="M48" i="14"/>
  <c r="J48" i="14"/>
  <c r="I48" i="14"/>
  <c r="H48" i="14"/>
  <c r="G48" i="14"/>
  <c r="F48" i="14"/>
  <c r="E48" i="14"/>
  <c r="D48" i="14"/>
  <c r="C48" i="14"/>
  <c r="M47" i="14"/>
  <c r="J47" i="14"/>
  <c r="I47" i="14"/>
  <c r="H47" i="14"/>
  <c r="G47" i="14"/>
  <c r="F47" i="14"/>
  <c r="E47" i="14"/>
  <c r="D47" i="14"/>
  <c r="C47" i="14"/>
  <c r="M46" i="14"/>
  <c r="K46" i="14"/>
  <c r="J46" i="14"/>
  <c r="I46" i="14"/>
  <c r="H46" i="14"/>
  <c r="G46" i="14"/>
  <c r="F46" i="14"/>
  <c r="E46" i="14"/>
  <c r="D46" i="14"/>
  <c r="C46" i="14"/>
  <c r="M45" i="14"/>
  <c r="J45" i="14"/>
  <c r="I45" i="14"/>
  <c r="H45" i="14"/>
  <c r="G45" i="14"/>
  <c r="F45" i="14"/>
  <c r="E45" i="14"/>
  <c r="D45" i="14"/>
  <c r="C45" i="14"/>
  <c r="M44" i="14"/>
  <c r="J44" i="14"/>
  <c r="I44" i="14"/>
  <c r="H44" i="14"/>
  <c r="G44" i="14"/>
  <c r="F44" i="14"/>
  <c r="E44" i="14"/>
  <c r="D44" i="14"/>
  <c r="C44" i="14"/>
  <c r="M43" i="14"/>
  <c r="J43" i="14"/>
  <c r="I43" i="14"/>
  <c r="H43" i="14"/>
  <c r="G43" i="14"/>
  <c r="F43" i="14"/>
  <c r="E43" i="14"/>
  <c r="D43" i="14"/>
  <c r="C43" i="14"/>
  <c r="M42" i="14"/>
  <c r="K42" i="14"/>
  <c r="J42" i="14"/>
  <c r="I42" i="14"/>
  <c r="H42" i="14"/>
  <c r="G42" i="14"/>
  <c r="F42" i="14"/>
  <c r="E42" i="14"/>
  <c r="D42" i="14"/>
  <c r="C42" i="14"/>
  <c r="M41" i="14"/>
  <c r="J41" i="14"/>
  <c r="I41" i="14"/>
  <c r="H41" i="14"/>
  <c r="G41" i="14"/>
  <c r="F41" i="14"/>
  <c r="E41" i="14"/>
  <c r="D41" i="14"/>
  <c r="C41" i="14"/>
  <c r="M40" i="14"/>
  <c r="J40" i="14"/>
  <c r="I40" i="14"/>
  <c r="H40" i="14"/>
  <c r="G40" i="14"/>
  <c r="F40" i="14"/>
  <c r="E40" i="14"/>
  <c r="D40" i="14"/>
  <c r="C40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P65" i="11"/>
  <c r="Q57" i="11"/>
  <c r="N46" i="14" l="1"/>
  <c r="N52" i="14"/>
  <c r="N45" i="14"/>
  <c r="N42" i="14"/>
  <c r="N54" i="14"/>
  <c r="N51" i="14"/>
  <c r="N48" i="14"/>
  <c r="N47" i="14"/>
  <c r="N44" i="14"/>
  <c r="N43" i="14"/>
  <c r="N41" i="14"/>
  <c r="N53" i="14"/>
  <c r="N50" i="14"/>
  <c r="N40" i="14"/>
  <c r="N49" i="14"/>
  <c r="P48" i="1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H59" i="10" l="1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G7" i="10" l="1"/>
  <c r="G9" i="10"/>
  <c r="G10" i="10"/>
  <c r="G15" i="10"/>
  <c r="G16" i="10"/>
  <c r="G17" i="10"/>
  <c r="G18" i="10"/>
  <c r="Z6" i="9"/>
  <c r="G6" i="10" s="1"/>
  <c r="Z7" i="9"/>
  <c r="Z8" i="9"/>
  <c r="G4" i="10" s="1"/>
  <c r="Z9" i="9"/>
  <c r="G5" i="10" s="1"/>
  <c r="Z10" i="9"/>
  <c r="G8" i="10" s="1"/>
  <c r="Z11" i="9"/>
  <c r="Z12" i="9"/>
  <c r="Z13" i="9"/>
  <c r="G12" i="10" s="1"/>
  <c r="Z14" i="9"/>
  <c r="Z15" i="9"/>
  <c r="G14" i="10" s="1"/>
  <c r="Z16" i="9"/>
  <c r="G13" i="10" s="1"/>
  <c r="Z17" i="9"/>
  <c r="G11" i="10" s="1"/>
  <c r="Z18" i="9"/>
  <c r="Z5" i="9"/>
  <c r="K7" i="10" l="1"/>
  <c r="K9" i="10"/>
  <c r="K45" i="10" s="1"/>
  <c r="K11" i="10"/>
  <c r="K47" i="10" s="1"/>
  <c r="K12" i="10"/>
  <c r="K48" i="10" s="1"/>
  <c r="L6" i="10"/>
  <c r="L42" i="10" s="1"/>
  <c r="K43" i="10"/>
  <c r="L4" i="10"/>
  <c r="L40" i="10" s="1"/>
  <c r="O36" i="9"/>
  <c r="O35" i="9"/>
  <c r="S36" i="9"/>
  <c r="T36" i="9"/>
  <c r="S35" i="9"/>
  <c r="T35" i="9"/>
  <c r="R36" i="9"/>
  <c r="Q36" i="9"/>
  <c r="N36" i="9" s="1"/>
  <c r="R35" i="9"/>
  <c r="Q35" i="9"/>
  <c r="N35" i="9" s="1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43" i="9"/>
  <c r="D76" i="9"/>
  <c r="M57" i="9" s="1"/>
  <c r="D75" i="9"/>
  <c r="C78" i="9"/>
  <c r="C76" i="9"/>
  <c r="C75" i="9"/>
  <c r="L45" i="9"/>
  <c r="L53" i="9"/>
  <c r="L14" i="10" s="1"/>
  <c r="L50" i="10" s="1"/>
  <c r="L43" i="9"/>
  <c r="K46" i="9"/>
  <c r="K48" i="9"/>
  <c r="K50" i="9"/>
  <c r="K51" i="9"/>
  <c r="K52" i="9"/>
  <c r="K13" i="10" s="1"/>
  <c r="K49" i="10" s="1"/>
  <c r="L36" i="9"/>
  <c r="L35" i="9"/>
  <c r="K36" i="9"/>
  <c r="M36" i="9" s="1"/>
  <c r="K57" i="9" s="1"/>
  <c r="K18" i="10" s="1"/>
  <c r="K54" i="10" s="1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P5" i="9"/>
  <c r="M6" i="9"/>
  <c r="K55" i="9" s="1"/>
  <c r="K16" i="10" s="1"/>
  <c r="K52" i="10" s="1"/>
  <c r="M7" i="9"/>
  <c r="M8" i="9"/>
  <c r="K54" i="9" s="1"/>
  <c r="K15" i="10" s="1"/>
  <c r="K51" i="10" s="1"/>
  <c r="M9" i="9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M27" i="9"/>
  <c r="M28" i="9"/>
  <c r="M29" i="9"/>
  <c r="M30" i="9"/>
  <c r="M31" i="9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P35" i="9" l="1"/>
  <c r="L56" i="9" s="1"/>
  <c r="L17" i="10" s="1"/>
  <c r="L53" i="10" s="1"/>
  <c r="P36" i="9"/>
  <c r="L57" i="9" s="1"/>
  <c r="L18" i="10" s="1"/>
  <c r="L54" i="10" s="1"/>
  <c r="N54" i="10" s="1"/>
  <c r="D72" i="10" s="1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3" i="10" s="1"/>
  <c r="D71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AI19" i="8" l="1"/>
  <c r="BO9" i="7" l="1"/>
  <c r="BO8" i="7"/>
  <c r="BM20" i="7"/>
  <c r="BO7" i="7"/>
  <c r="BO6" i="7"/>
  <c r="BO5" i="7"/>
  <c r="BM6" i="7"/>
  <c r="BM7" i="7"/>
  <c r="BM8" i="7"/>
  <c r="BM9" i="7"/>
  <c r="BM10" i="7"/>
  <c r="BM11" i="7"/>
  <c r="BM12" i="7"/>
  <c r="BM13" i="7"/>
  <c r="BM14" i="7"/>
  <c r="BM15" i="7"/>
  <c r="BM16" i="7"/>
  <c r="BM17" i="7"/>
  <c r="BM18" i="7"/>
  <c r="BM19" i="7"/>
  <c r="BM5" i="7"/>
  <c r="BH6" i="7"/>
  <c r="BH7" i="7"/>
  <c r="BH8" i="7"/>
  <c r="BH9" i="7"/>
  <c r="BH10" i="7"/>
  <c r="BH11" i="7"/>
  <c r="BH12" i="7"/>
  <c r="BH13" i="7"/>
  <c r="BH14" i="7"/>
  <c r="BH15" i="7"/>
  <c r="BH16" i="7"/>
  <c r="BH17" i="7"/>
  <c r="BH18" i="7"/>
  <c r="BH19" i="7"/>
  <c r="BH5" i="7"/>
  <c r="AK42" i="7" l="1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41" i="7"/>
  <c r="AM37" i="7"/>
  <c r="AM36" i="7"/>
  <c r="AO37" i="7"/>
  <c r="AQ37" i="7"/>
  <c r="AQ36" i="7"/>
  <c r="AP37" i="7"/>
  <c r="AP36" i="7"/>
  <c r="AL36" i="7"/>
  <c r="AL37" i="7"/>
  <c r="AK37" i="7"/>
  <c r="AK36" i="7"/>
  <c r="AJ37" i="7"/>
  <c r="AJ3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O25" i="7"/>
  <c r="AO26" i="7"/>
  <c r="AO27" i="7"/>
  <c r="AO28" i="7"/>
  <c r="AO32" i="7"/>
  <c r="AO33" i="7"/>
  <c r="AO34" i="7"/>
  <c r="AO35" i="7"/>
  <c r="AO6" i="7"/>
  <c r="W61" i="7"/>
  <c r="P61" i="7"/>
  <c r="AO36" i="7" l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M6" i="8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L8" i="7"/>
  <c r="AL9" i="7"/>
  <c r="AL10" i="7"/>
  <c r="AL18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6" i="7"/>
  <c r="AE37" i="7"/>
  <c r="AA37" i="7" s="1"/>
  <c r="AF37" i="7"/>
  <c r="AE36" i="7"/>
  <c r="AF36" i="7"/>
  <c r="AA36" i="7" s="1"/>
  <c r="AD36" i="7"/>
  <c r="Z36" i="7" s="1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Z37" i="7" l="1"/>
  <c r="AB36" i="7"/>
  <c r="L17" i="8" s="1"/>
  <c r="Y37" i="7"/>
  <c r="K18" i="8" s="1"/>
  <c r="AB37" i="7"/>
  <c r="L18" i="8" s="1"/>
  <c r="Y36" i="7"/>
  <c r="K17" i="8" s="1"/>
  <c r="Q6" i="7" l="1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G18" i="5"/>
  <c r="Y18" i="4"/>
  <c r="D30" i="7" l="1"/>
  <c r="D24" i="7"/>
  <c r="D22" i="7"/>
  <c r="I30" i="7" s="1"/>
  <c r="D6" i="7"/>
  <c r="D23" i="7"/>
  <c r="D5" i="7"/>
  <c r="D16" i="7"/>
  <c r="I26" i="7" s="1"/>
  <c r="D15" i="7"/>
  <c r="I32" i="7" s="1"/>
  <c r="D14" i="7"/>
  <c r="D32" i="7"/>
  <c r="D31" i="7"/>
  <c r="D7" i="7"/>
  <c r="BC17" i="7"/>
  <c r="R54" i="7"/>
  <c r="W54" i="7"/>
  <c r="AB54" i="7"/>
  <c r="E67" i="8"/>
  <c r="D13" i="7"/>
  <c r="D3" i="7"/>
  <c r="D28" i="7"/>
  <c r="D20" i="7"/>
  <c r="D11" i="7"/>
  <c r="D12" i="7"/>
  <c r="I31" i="7"/>
  <c r="D36" i="7"/>
  <c r="D37" i="7"/>
  <c r="W45" i="7"/>
  <c r="E66" i="8"/>
  <c r="D35" i="7"/>
  <c r="D19" i="7"/>
  <c r="D34" i="7"/>
  <c r="D26" i="7"/>
  <c r="D18" i="7"/>
  <c r="D9" i="7"/>
  <c r="D29" i="7"/>
  <c r="D21" i="7"/>
  <c r="D4" i="7"/>
  <c r="D27" i="7"/>
  <c r="D10" i="7"/>
  <c r="D33" i="7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81" i="4"/>
  <c r="AB49" i="7" l="1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J23" i="7" s="1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4" i="7" l="1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S28" i="4" s="1"/>
  <c r="R29" i="4"/>
  <c r="R30" i="4"/>
  <c r="R31" i="4"/>
  <c r="R32" i="4"/>
  <c r="R33" i="4"/>
  <c r="R34" i="4"/>
  <c r="R35" i="4"/>
  <c r="R36" i="4"/>
  <c r="S36" i="4" s="1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0" i="4" l="1"/>
  <c r="G15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G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G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2" i="5" s="1"/>
  <c r="E76" i="4"/>
  <c r="E73" i="5" s="1"/>
  <c r="E64" i="4"/>
  <c r="E63" i="4"/>
  <c r="E71" i="4"/>
  <c r="E68" i="4"/>
  <c r="E72" i="4"/>
  <c r="E66" i="4"/>
  <c r="E65" i="4"/>
  <c r="E74" i="4"/>
  <c r="E69" i="4"/>
  <c r="E67" i="4"/>
  <c r="E70" i="4"/>
  <c r="E75" i="4"/>
  <c r="E62" i="4"/>
  <c r="E71" i="5" l="1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R6" i="2"/>
  <c r="J7" i="1" s="1"/>
  <c r="J44" i="1" s="1"/>
  <c r="AR7" i="2"/>
  <c r="J10" i="1" s="1"/>
  <c r="J47" i="1" s="1"/>
  <c r="AR12" i="2"/>
  <c r="J16" i="1" s="1"/>
  <c r="J53" i="1" s="1"/>
  <c r="AR14" i="2"/>
  <c r="J11" i="1" s="1"/>
  <c r="J48" i="1" s="1"/>
  <c r="AR15" i="2"/>
  <c r="J15" i="1" s="1"/>
  <c r="J52" i="1" s="1"/>
  <c r="AQ6" i="2"/>
  <c r="AQ7" i="2"/>
  <c r="AQ8" i="2"/>
  <c r="AR8" i="2" s="1"/>
  <c r="J5" i="1" s="1"/>
  <c r="J42" i="1" s="1"/>
  <c r="AQ9" i="2"/>
  <c r="AR9" i="2" s="1"/>
  <c r="J6" i="1" s="1"/>
  <c r="J43" i="1" s="1"/>
  <c r="AQ10" i="2"/>
  <c r="AR10" i="2" s="1"/>
  <c r="J9" i="1" s="1"/>
  <c r="J46" i="1" s="1"/>
  <c r="AQ11" i="2"/>
  <c r="AR11" i="2" s="1"/>
  <c r="J17" i="1" s="1"/>
  <c r="J54" i="1" s="1"/>
  <c r="AQ12" i="2"/>
  <c r="AQ13" i="2"/>
  <c r="AR13" i="2" s="1"/>
  <c r="J13" i="1" s="1"/>
  <c r="J50" i="1" s="1"/>
  <c r="AQ14" i="2"/>
  <c r="AQ15" i="2"/>
  <c r="AQ16" i="2"/>
  <c r="AR16" i="2" s="1"/>
  <c r="J14" i="1" s="1"/>
  <c r="J51" i="1" s="1"/>
  <c r="AQ17" i="2"/>
  <c r="AR17" i="2" s="1"/>
  <c r="J12" i="1" s="1"/>
  <c r="J49" i="1" s="1"/>
  <c r="AQ18" i="2"/>
  <c r="AR18" i="2" s="1"/>
  <c r="AQ5" i="2"/>
  <c r="AR5" i="2" s="1"/>
  <c r="J8" i="1" s="1"/>
  <c r="J45" i="1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9" i="1"/>
  <c r="P10" i="1"/>
  <c r="P11" i="1"/>
  <c r="P12" i="1"/>
  <c r="P49" i="1" s="1"/>
  <c r="P13" i="1"/>
  <c r="P14" i="1"/>
  <c r="P51" i="1" s="1"/>
  <c r="P15" i="1"/>
  <c r="P16" i="1"/>
  <c r="P53" i="1" s="1"/>
  <c r="P17" i="1"/>
  <c r="P54" i="1" s="1"/>
  <c r="P18" i="1"/>
  <c r="P19" i="1"/>
  <c r="P5" i="1"/>
  <c r="P42" i="1" s="1"/>
  <c r="O6" i="1"/>
  <c r="O43" i="1" s="1"/>
  <c r="O7" i="1"/>
  <c r="O44" i="1" s="1"/>
  <c r="O8" i="1"/>
  <c r="O9" i="1"/>
  <c r="O10" i="1"/>
  <c r="O47" i="1" s="1"/>
  <c r="O11" i="1"/>
  <c r="O12" i="1"/>
  <c r="O13" i="1"/>
  <c r="O50" i="1" s="1"/>
  <c r="O14" i="1"/>
  <c r="O51" i="1" s="1"/>
  <c r="O15" i="1"/>
  <c r="O52" i="1" s="1"/>
  <c r="O16" i="1"/>
  <c r="O17" i="1"/>
  <c r="O54" i="1" s="1"/>
  <c r="O18" i="1"/>
  <c r="O55" i="1" s="1"/>
  <c r="O19" i="1"/>
  <c r="N6" i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N43" i="1"/>
  <c r="G44" i="1"/>
  <c r="H44" i="1"/>
  <c r="K44" i="1"/>
  <c r="L44" i="1"/>
  <c r="M44" i="1"/>
  <c r="P44" i="1"/>
  <c r="G45" i="1"/>
  <c r="H45" i="1"/>
  <c r="I45" i="1"/>
  <c r="K45" i="1"/>
  <c r="L45" i="1"/>
  <c r="M45" i="1"/>
  <c r="O45" i="1"/>
  <c r="P45" i="1"/>
  <c r="G46" i="1"/>
  <c r="H46" i="1"/>
  <c r="I46" i="1"/>
  <c r="K46" i="1"/>
  <c r="L46" i="1"/>
  <c r="M46" i="1"/>
  <c r="O46" i="1"/>
  <c r="P46" i="1"/>
  <c r="G47" i="1"/>
  <c r="H47" i="1"/>
  <c r="I47" i="1"/>
  <c r="L47" i="1"/>
  <c r="M47" i="1"/>
  <c r="P47" i="1"/>
  <c r="G48" i="1"/>
  <c r="H48" i="1"/>
  <c r="L48" i="1"/>
  <c r="M48" i="1"/>
  <c r="O48" i="1"/>
  <c r="P48" i="1"/>
  <c r="G49" i="1"/>
  <c r="H49" i="1"/>
  <c r="I49" i="1"/>
  <c r="L49" i="1"/>
  <c r="M49" i="1"/>
  <c r="O49" i="1"/>
  <c r="G50" i="1"/>
  <c r="H50" i="1"/>
  <c r="I50" i="1"/>
  <c r="L50" i="1"/>
  <c r="M50" i="1"/>
  <c r="P50" i="1"/>
  <c r="G51" i="1"/>
  <c r="H51" i="1"/>
  <c r="I51" i="1"/>
  <c r="L51" i="1"/>
  <c r="M51" i="1"/>
  <c r="N51" i="1"/>
  <c r="G52" i="1"/>
  <c r="H52" i="1"/>
  <c r="I52" i="1"/>
  <c r="K52" i="1"/>
  <c r="M52" i="1"/>
  <c r="P52" i="1"/>
  <c r="G53" i="1"/>
  <c r="H53" i="1"/>
  <c r="I53" i="1"/>
  <c r="K53" i="1"/>
  <c r="M53" i="1"/>
  <c r="O53" i="1"/>
  <c r="G54" i="1"/>
  <c r="H54" i="1"/>
  <c r="I54" i="1"/>
  <c r="K54" i="1"/>
  <c r="M54" i="1"/>
  <c r="G55" i="1"/>
  <c r="H55" i="1"/>
  <c r="I55" i="1"/>
  <c r="J55" i="1"/>
  <c r="K55" i="1"/>
  <c r="L55" i="1"/>
  <c r="M55" i="1"/>
  <c r="P55" i="1"/>
  <c r="G56" i="1"/>
  <c r="H56" i="1"/>
  <c r="K56" i="1"/>
  <c r="L56" i="1"/>
  <c r="M56" i="1"/>
  <c r="O56" i="1"/>
  <c r="P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N52" i="5" l="1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0" i="1"/>
  <c r="F68" i="1" s="1"/>
  <c r="Q51" i="1"/>
  <c r="F69" i="1" s="1"/>
  <c r="K58" i="2"/>
  <c r="Q56" i="1"/>
  <c r="F74" i="1" s="1"/>
  <c r="Q48" i="1"/>
  <c r="F66" i="1" s="1"/>
  <c r="Q55" i="1"/>
  <c r="F73" i="1" s="1"/>
  <c r="Q54" i="1"/>
  <c r="F72" i="1" s="1"/>
  <c r="Q47" i="1"/>
  <c r="F65" i="1" s="1"/>
  <c r="Q46" i="1"/>
  <c r="F64" i="1" s="1"/>
  <c r="Q53" i="1"/>
  <c r="F71" i="1" s="1"/>
  <c r="Q45" i="1"/>
  <c r="F63" i="1" s="1"/>
  <c r="Q49" i="1"/>
  <c r="F67" i="1" s="1"/>
  <c r="Q52" i="1"/>
  <c r="F70" i="1" s="1"/>
  <c r="Q44" i="1"/>
  <c r="F62" i="1" s="1"/>
  <c r="Q43" i="1"/>
  <c r="F61" i="1" s="1"/>
  <c r="Q42" i="1"/>
  <c r="F60" i="1" s="1"/>
  <c r="L59" i="2"/>
  <c r="D36" i="2"/>
  <c r="K59" i="2"/>
  <c r="I58" i="2"/>
  <c r="I59" i="2"/>
  <c r="I63" i="2" s="1"/>
  <c r="C36" i="2"/>
  <c r="J59" i="2"/>
  <c r="J58" i="2"/>
  <c r="L58" i="2"/>
  <c r="D37" i="2"/>
  <c r="C37" i="2"/>
  <c r="H37" i="4" l="1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<sst xmlns="http://schemas.openxmlformats.org/spreadsheetml/2006/main" count="3330" uniqueCount="276">
  <si>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</si>
  <si>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</si>
  <si>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</si>
  <si>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</si>
  <si>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</si>
  <si>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</si>
  <si>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</si>
  <si>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</si>
  <si>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</si>
  <si>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</si>
  <si>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</si>
  <si>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</si>
  <si>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</si>
  <si>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</si>
  <si>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</si>
  <si>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</si>
  <si>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</si>
  <si>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</si>
  <si>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</si>
  <si>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</si>
  <si>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</si>
  <si>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</si>
  <si>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</si>
  <si>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</si>
  <si>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</si>
  <si>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</si>
  <si>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</si>
  <si>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</si>
  <si>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</si>
  <si>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</si>
  <si>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</si>
  <si>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</si>
  <si>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</si>
  <si>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</si>
  <si>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</si>
  <si>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</si>
  <si>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</si>
  <si>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</si>
  <si>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</si>
  <si>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</si>
  <si>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</si>
  <si>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</si>
  <si>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</si>
  <si>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</si>
  <si>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</si>
  <si>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</si>
  <si>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</si>
  <si>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</si>
  <si>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</si>
  <si>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</si>
  <si>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</si>
  <si>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</si>
  <si>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</si>
  <si>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</si>
  <si>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</si>
  <si>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</si>
  <si>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</si>
  <si>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</si>
  <si>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</si>
  <si>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</si>
  <si>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</si>
  <si>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</si>
  <si>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</si>
  <si>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</si>
  <si>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</si>
  <si>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</si>
  <si>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</si>
  <si>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</si>
  <si>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</si>
  <si>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</si>
  <si>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</si>
  <si>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</si>
  <si>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</si>
  <si>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</si>
  <si>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</si>
  <si>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</si>
  <si>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</si>
  <si>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</si>
  <si>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</si>
  <si>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</si>
  <si>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</si>
  <si>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</si>
  <si>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</si>
  <si>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</si>
  <si>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</si>
  <si>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</si>
  <si>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</si>
  <si>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</si>
  <si>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</si>
  <si>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</si>
  <si>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</si>
  <si>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</si>
  <si>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</si>
  <si>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</si>
  <si>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</si>
  <si>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</si>
  <si>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</si>
  <si>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</si>
  <si>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</si>
  <si>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</si>
  <si>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</si>
  <si>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</si>
  <si>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</si>
  <si>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</si>
  <si>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</si>
  <si>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</si>
  <si>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</si>
  <si>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</si>
  <si>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</si>
  <si>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</si>
  <si>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</si>
  <si>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</si>
  <si>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</si>
  <si>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</si>
  <si>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</si>
  <si>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</si>
  <si>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</si>
  <si>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</si>
  <si>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</si>
  <si>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</si>
  <si>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</si>
  <si>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</si>
  <si>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</si>
  <si>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</si>
  <si>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</si>
  <si>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</si>
  <si>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</si>
  <si>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</si>
  <si>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</si>
  <si>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</si>
  <si>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</si>
  <si>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</si>
  <si>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</si>
  <si>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</si>
  <si>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</si>
  <si>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</si>
  <si>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</si>
  <si>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</si>
  <si>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</si>
  <si>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</si>
  <si>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</si>
  <si>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</si>
  <si>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</si>
  <si>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</si>
  <si>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</si>
  <si>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</si>
  <si>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</si>
  <si>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</si>
  <si>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</si>
  <si>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</si>
  <si>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</si>
  <si>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</si>
  <si>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</si>
  <si>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</si>
  <si>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</si>
  <si>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</si>
  <si>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</si>
  <si>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</si>
  <si>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</si>
  <si>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</si>
  <si>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</si>
  <si>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</si>
  <si>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</si>
  <si>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</si>
  <si>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</si>
  <si>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</si>
  <si>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</si>
  <si>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</si>
  <si>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</si>
  <si>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</si>
  <si>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</si>
  <si>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</si>
  <si>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</si>
  <si>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</si>
  <si>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</si>
  <si>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</si>
  <si>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</si>
  <si>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</si>
  <si>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</si>
  <si>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</si>
  <si>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</si>
  <si>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</si>
  <si>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</si>
  <si>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</si>
  <si>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</si>
  <si>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</si>
  <si>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</si>
  <si>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</si>
  <si>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</si>
  <si>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</si>
  <si>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</si>
  <si>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</si>
  <si>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</si>
  <si>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</si>
  <si>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</si>
  <si>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</si>
  <si>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</si>
  <si>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Grafica CPO PY vs 8+4</t>
  </si>
  <si>
    <t>Grafica CPO PY vs 7+5</t>
  </si>
  <si>
    <t>Grafica CPO FYTD25 NOV vs 2+10</t>
  </si>
  <si>
    <t>%CSI</t>
  </si>
  <si>
    <t>%SSI</t>
  </si>
  <si>
    <t>Row Labels</t>
  </si>
  <si>
    <t xml:space="preserve"> FY25RS</t>
  </si>
  <si>
    <t>MS 25</t>
  </si>
  <si>
    <t>TIV</t>
  </si>
  <si>
    <t>8+4</t>
  </si>
  <si>
    <t>%MS</t>
  </si>
  <si>
    <t>7+5</t>
  </si>
  <si>
    <t>Sum of APR</t>
  </si>
  <si>
    <t>Sum of MAY</t>
  </si>
  <si>
    <t>Sum of JUN</t>
  </si>
  <si>
    <t>Sum of JUL</t>
  </si>
  <si>
    <t>Sum of AUG</t>
  </si>
  <si>
    <t>Sum of SEP</t>
  </si>
  <si>
    <t>Sum of OCT</t>
  </si>
  <si>
    <t>Sum of NOV</t>
  </si>
  <si>
    <t>FYTD NOV</t>
  </si>
  <si>
    <t>6 MAIN</t>
  </si>
  <si>
    <t>NO MAIN</t>
  </si>
  <si>
    <t>Grafica CPO YTD NOV vs BP</t>
  </si>
  <si>
    <t>Grafica CPO YTD NOV vs PY</t>
  </si>
  <si>
    <t>Grafica CPO PY vs BP</t>
  </si>
  <si>
    <t>Grafica CPO Posventa</t>
  </si>
  <si>
    <t>BP</t>
  </si>
  <si>
    <t>Peso</t>
  </si>
  <si>
    <t>reall Sell-In</t>
  </si>
  <si>
    <t>%Achieve.</t>
  </si>
  <si>
    <t>Target RS</t>
  </si>
  <si>
    <t>Real RS</t>
  </si>
  <si>
    <t>%chieve.</t>
  </si>
  <si>
    <t>target Rete</t>
  </si>
  <si>
    <t>NOV</t>
  </si>
  <si>
    <t>DEC</t>
  </si>
  <si>
    <t>JAN</t>
  </si>
  <si>
    <t>FEB</t>
  </si>
  <si>
    <t>MAR</t>
  </si>
  <si>
    <t>AUG</t>
  </si>
  <si>
    <t>OCT</t>
  </si>
  <si>
    <t>12RM NOV</t>
  </si>
  <si>
    <t>Outlets Sales</t>
  </si>
  <si>
    <t>FYTD25 NOV</t>
  </si>
  <si>
    <t>Satisfacción</t>
  </si>
  <si>
    <t>YTD DEC</t>
  </si>
  <si>
    <t>AP Q3</t>
  </si>
  <si>
    <t>Ventas</t>
  </si>
  <si>
    <t>Real Retencion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</si>
  <si>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</si>
  <si>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</si>
  <si>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</si>
  <si>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</si>
  <si>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</si>
  <si>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</si>
  <si>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</si>
  <si>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</si>
  <si>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</si>
  <si>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</si>
  <si>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</si>
  <si>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</si>
  <si>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</si>
  <si>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</si>
  <si>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</si>
  <si>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</si>
  <si>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</si>
  <si>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</si>
  <si>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15/15</t>
  </si>
  <si>
    <t>&lt;85%</t>
  </si>
  <si>
    <t>CUSTOMER EXPERIENCE (15%)</t>
  </si>
  <si>
    <t>SUSTAINABLE GROWTH (70%)</t>
  </si>
  <si>
    <t>Overall Compliance</t>
  </si>
  <si>
    <t>14/15</t>
  </si>
  <si>
    <t>TRD: 99%</t>
  </si>
  <si>
    <t>R9: 2.5%</t>
  </si>
  <si>
    <t>Cumplimiento General</t>
  </si>
  <si>
    <t>Objetivo</t>
  </si>
  <si>
    <t>Q3 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</si>
</sst>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b/>
      <sz val="10"/>
      <color theme="0"/>
      <name val="Aptos Narrow"/>
      <family val="2"/>
      <scheme val="minor"/>
    </font>
    <font>
      <sz val="8"/>
      <color theme="1"/>
      <name val="Calibri"/>
      <family val="2"/>
    </font>
    <font>
      <sz val="11"/>
      <color rgb="FF000000"/>
      <name val="Aptos Narrow"/>
      <family val="2"/>
    </font>
  </fonts>
  <fills count="31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theme="8" tint="0.79998168889431442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25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9" fontId="3" fillId="0" borderId="0" xfId="2" applyFont="1" applyAlignment="1">
      <alignment horizontal="center" vertical="center"/>
    </xf>
    <xf numFmtId="9" fontId="20" fillId="0" borderId="25" xfId="2" applyFont="1" applyBorder="1" applyAlignment="1">
      <alignment horizontal="center" vertical="center"/>
    </xf>
    <xf numFmtId="168" fontId="11" fillId="29" borderId="43" xfId="0" applyNumberFormat="1" applyFont="1" applyFill="1" applyBorder="1" applyAlignment="1">
      <alignment horizontal="center" vertical="center"/>
    </xf>
    <xf numFmtId="168" fontId="11" fillId="29" borderId="43" xfId="0" applyNumberFormat="1" applyFont="1" applyFill="1" applyBorder="1"/>
    <xf numFmtId="10" fontId="3" fillId="0" borderId="0" xfId="2" applyNumberFormat="1" applyFont="1"/>
    <xf numFmtId="9" fontId="0" fillId="0" borderId="6" xfId="0" applyNumberFormat="1" applyBorder="1" applyAlignment="1">
      <alignment horizontal="center" vertical="center"/>
    </xf>
    <xf numFmtId="171" fontId="28" fillId="22" borderId="0" xfId="0" applyNumberFormat="1" applyFont="1" applyFill="1" applyAlignment="1">
      <alignment horizontal="center"/>
    </xf>
    <xf numFmtId="171" fontId="17" fillId="0" borderId="6" xfId="0" applyNumberFormat="1" applyFont="1" applyBorder="1" applyAlignment="1">
      <alignment horizontal="center"/>
    </xf>
    <xf numFmtId="0" fontId="16" fillId="28" borderId="6" xfId="0" applyFont="1" applyFill="1" applyBorder="1" applyAlignment="1">
      <alignment horizontal="center" vertical="center"/>
    </xf>
    <xf numFmtId="0" fontId="3" fillId="28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1" fontId="3" fillId="0" borderId="0" xfId="2" applyNumberFormat="1" applyFont="1" applyFill="1" applyBorder="1" applyAlignment="1">
      <alignment horizontal="center" vertical="center"/>
    </xf>
    <xf numFmtId="168" fontId="23" fillId="20" borderId="44" xfId="0" applyNumberFormat="1" applyFont="1" applyFill="1" applyBorder="1"/>
    <xf numFmtId="168" fontId="23" fillId="20" borderId="44" xfId="0" applyNumberFormat="1" applyFont="1" applyFill="1" applyBorder="1" applyAlignment="1">
      <alignment horizontal="center" vertical="center"/>
    </xf>
    <xf numFmtId="168" fontId="23" fillId="29" borderId="43" xfId="0" applyNumberFormat="1" applyFont="1" applyFill="1" applyBorder="1"/>
    <xf numFmtId="168" fontId="23" fillId="29" borderId="43" xfId="0" applyNumberFormat="1" applyFont="1" applyFill="1" applyBorder="1" applyAlignment="1">
      <alignment horizontal="center" vertical="center"/>
    </xf>
    <xf numFmtId="168" fontId="23" fillId="30" borderId="45" xfId="0" applyNumberFormat="1" applyFont="1" applyFill="1" applyBorder="1"/>
    <xf numFmtId="168" fontId="23" fillId="30" borderId="45" xfId="0" applyNumberFormat="1" applyFont="1" applyFill="1" applyBorder="1" applyAlignment="1">
      <alignment horizontal="center" vertical="center"/>
    </xf>
    <xf numFmtId="168" fontId="23" fillId="29" borderId="0" xfId="0" applyNumberFormat="1" applyFont="1" applyFill="1" applyAlignment="1">
      <alignment horizontal="center" vertical="center"/>
    </xf>
    <xf numFmtId="0" fontId="30" fillId="0" borderId="0" xfId="0" applyFont="1" applyAlignment="1">
      <alignment horizontal="right" vertical="center"/>
    </xf>
    <xf numFmtId="9" fontId="0" fillId="0" borderId="6" xfId="2" applyFont="1" applyFill="1" applyBorder="1" applyAlignment="1">
      <alignment horizontal="center" vertical="center"/>
    </xf>
    <xf numFmtId="168" fontId="23" fillId="20" borderId="0" xfId="0" applyNumberFormat="1" applyFont="1" applyFill="1" applyAlignment="1">
      <alignment horizontal="center" vertical="center"/>
    </xf>
    <xf numFmtId="167" fontId="3" fillId="0" borderId="0" xfId="0" applyNumberFormat="1" applyFont="1"/>
    <xf numFmtId="0" fontId="23" fillId="20" borderId="44" xfId="0" applyFont="1" applyFill="1" applyBorder="1"/>
    <xf numFmtId="0" fontId="0" fillId="0" borderId="0" xfId="0" applyAlignment="1">
      <alignment horizontal="left"/>
    </xf>
    <xf numFmtId="171" fontId="0" fillId="0" borderId="0" xfId="0" applyNumberFormat="1"/>
    <xf numFmtId="168" fontId="0" fillId="12" borderId="6" xfId="0" applyNumberFormat="1" applyFill="1" applyBorder="1"/>
    <xf numFmtId="165" fontId="3" fillId="0" borderId="0" xfId="0" applyNumberFormat="1" applyFont="1"/>
    <xf numFmtId="167" fontId="16" fillId="0" borderId="0" xfId="2" applyNumberFormat="1" applyFont="1" applyAlignment="1">
      <alignment horizontal="center" vertical="center"/>
    </xf>
    <xf numFmtId="10" fontId="0" fillId="0" borderId="0" xfId="0" applyNumberFormat="1"/>
    <xf numFmtId="167" fontId="3" fillId="0" borderId="7" xfId="0" applyNumberFormat="1" applyFont="1" applyBorder="1" applyAlignment="1">
      <alignment horizontal="center" vertical="center"/>
    </xf>
    <xf numFmtId="167" fontId="10" fillId="0" borderId="0" xfId="2" applyNumberFormat="1" applyFont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9" fontId="3" fillId="0" borderId="6" xfId="2" applyFont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3" fillId="20" borderId="46" xfId="0" applyFont="1" applyFill="1" applyBorder="1"/>
    <xf numFmtId="0" fontId="3" fillId="0" borderId="46" xfId="0" applyFont="1" applyBorder="1"/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10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17664-7F73-427B-A5BD-8D21FEF41394}" name="Table1" displayName="Table1" ref="D4:P19" totalsRowShown="0" headerRowDxfId="104" dataDxfId="103">
  <autoFilter ref="D4:P19" xr:uid="{E2D17664-7F73-427B-A5BD-8D21FEF41394}"/>
  <sortState xmlns:xlrd2="http://schemas.microsoft.com/office/spreadsheetml/2017/richdata2" ref="D5:P19">
    <sortCondition descending="1" ref="P4:P19"/>
  </sortState>
  <tableColumns count="13">
    <tableColumn id="1" xr3:uid="{833EEBB7-60F0-4E25-9B97-87F6FEE1376B}" name="Market" dataDxfId="102"/>
    <tableColumn id="2" xr3:uid="{9598AD70-990B-49F1-A7FE-E92C719841BE}" name="CSI" dataDxfId="101"/>
    <tableColumn id="3" xr3:uid="{08C84FDE-04A2-4912-B82A-4862A374B534}" name="SSI" dataDxfId="100"/>
    <tableColumn id="4" xr3:uid="{2F4F6BA8-BC1E-4A05-B945-ED5D2452B9BC}" name="NRC" dataDxfId="99"/>
    <tableColumn id="5" xr3:uid="{C116223C-F35D-4837-9CE5-EFBBBF6BADE9}" name="Training" dataDxfId="98"/>
    <tableColumn id="6" xr3:uid="{BB280EFF-935C-46D7-A98C-E62750C2CE99}" name="Ser. Campaign" dataDxfId="97"/>
    <tableColumn id="7" xr3:uid="{973FDF34-FEBE-4C0B-B606-9AB7E6A22A02}" name="Lead Mng." dataDxfId="96"/>
    <tableColumn id="8" xr3:uid="{53132A1A-326A-40BC-890C-53AF427AB903}" name="Share of Inv." dataDxfId="95"/>
    <tableColumn id="9" xr3:uid="{6EA0DE67-1462-4CE0-9EBB-B93FCC758F26}" name="Game Plan" dataDxfId="94"/>
    <tableColumn id="10" xr3:uid="{FACFF65C-0706-4A5F-81E6-A80D6D5617BA}" name="Sell In" dataDxfId="93"/>
    <tableColumn id="11" xr3:uid="{7C3208AB-3454-4976-821C-60AEA229C022}" name="Retention" dataDxfId="92"/>
    <tableColumn id="12" xr3:uid="{E0E99ED7-7181-46EC-9A06-A49612EDA695}" name="Retail Sales" dataDxfId="91"/>
    <tableColumn id="13" xr3:uid="{A7DE4340-1716-4822-B5C7-B79199056D00}" name="Achievement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6C7F45-02B3-49BA-BD8B-7237FE07A41D}" name="Table3" displayName="Table3" ref="S4:AE19" totalsRowShown="0" headerRowDxfId="89" dataDxfId="88">
  <autoFilter ref="S4:AE19" xr:uid="{9A6C7F45-02B3-49BA-BD8B-7237FE07A41D}"/>
  <sortState xmlns:xlrd2="http://schemas.microsoft.com/office/spreadsheetml/2017/richdata2" ref="S5:AE19">
    <sortCondition descending="1" ref="AE4:AE19"/>
  </sortState>
  <tableColumns count="13">
    <tableColumn id="1" xr3:uid="{56099C93-C860-46DA-8F45-DE57F16763F6}" name="Market" dataDxfId="87"/>
    <tableColumn id="2" xr3:uid="{3E253066-78E6-4F4D-94E7-032586CA7705}" name="CSI" dataDxfId="86"/>
    <tableColumn id="3" xr3:uid="{B33728BF-32EC-45E4-8A21-A6BE4EFB5580}" name="SSI" dataDxfId="85"/>
    <tableColumn id="4" xr3:uid="{93A18AE6-8DE6-40D1-A86F-86A53C7AAA11}" name="NRC" dataDxfId="84"/>
    <tableColumn id="5" xr3:uid="{6BD63B21-49B8-40BB-80C0-0B1B42580AA7}" name="Training" dataDxfId="83"/>
    <tableColumn id="6" xr3:uid="{49A4850A-CF49-460D-910C-34BD528A8021}" name="Ser. Campaign" dataDxfId="82"/>
    <tableColumn id="7" xr3:uid="{8CA55DA5-5F56-4630-B110-59676B37EB45}" name="Lead Mng." dataDxfId="81"/>
    <tableColumn id="8" xr3:uid="{36CD84CC-4FDC-4AC7-A25A-73FCEB66F824}" name="Share of Inv." dataDxfId="80"/>
    <tableColumn id="9" xr3:uid="{2179B22B-DE37-4E30-A772-14649E58F28D}" name="Game Plan" dataDxfId="79"/>
    <tableColumn id="10" xr3:uid="{0EC7C1B6-E35D-4168-BA04-7C5202604C35}" name="Sell In" dataDxfId="78"/>
    <tableColumn id="11" xr3:uid="{31546115-3DB5-4042-8609-391F0C3A75A1}" name="Retention" dataDxfId="77"/>
    <tableColumn id="12" xr3:uid="{38F63A59-33D6-448E-939F-992EDC9D5975}" name="Retail Sales" dataDxfId="76"/>
    <tableColumn id="13" xr3:uid="{193653AE-E51C-4C73-9F9C-AE27B1F80AE4}" name="Achievement" dataDxfId="7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dimension ref="E2:Q91"/>
  <sheetViews>
    <sheetView topLeftCell="D76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90" t="s">
        <v>34</v>
      </c>
      <c r="C3" s="290" t="s">
        <v>35</v>
      </c>
      <c r="D3" s="290" t="s">
        <v>36</v>
      </c>
      <c r="E3" s="290" t="s">
        <v>37</v>
      </c>
      <c r="F3" s="292" t="s">
        <v>38</v>
      </c>
      <c r="G3" s="292" t="s">
        <v>39</v>
      </c>
      <c r="H3" s="292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94" t="s">
        <v>41</v>
      </c>
      <c r="T3" s="294"/>
      <c r="U3" s="294"/>
      <c r="V3" s="11"/>
      <c r="W3" s="294" t="s">
        <v>42</v>
      </c>
      <c r="X3" s="294"/>
      <c r="Y3" s="294"/>
      <c r="AA3">
        <v>1</v>
      </c>
      <c r="AB3">
        <v>2</v>
      </c>
      <c r="AC3">
        <v>3</v>
      </c>
      <c r="AE3" s="295" t="s">
        <v>43</v>
      </c>
      <c r="AF3" s="295"/>
      <c r="AG3" s="295"/>
      <c r="AH3" s="295"/>
      <c r="AK3" s="297" t="s">
        <v>44</v>
      </c>
      <c r="AL3" s="297"/>
      <c r="AM3" s="297"/>
      <c r="AN3" s="296" t="s">
        <v>45</v>
      </c>
      <c r="AO3" s="296"/>
      <c r="AP3" s="296"/>
      <c r="AQ3" s="296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91"/>
      <c r="C4" s="291"/>
      <c r="D4" s="291"/>
      <c r="E4" s="291"/>
      <c r="F4" s="293"/>
      <c r="G4" s="293"/>
      <c r="H4" s="293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90" t="s">
        <v>34</v>
      </c>
      <c r="C56" s="292" t="s">
        <v>96</v>
      </c>
      <c r="D56" s="292" t="s">
        <v>97</v>
      </c>
      <c r="E56" s="292" t="s">
        <v>93</v>
      </c>
      <c r="F56" s="292" t="s">
        <v>94</v>
      </c>
    </row>
    <row r="57" spans="2:12" x14ac:dyDescent="0.25">
      <c r="B57" s="291"/>
      <c r="C57" s="293"/>
      <c r="D57" s="293"/>
      <c r="E57" s="293"/>
      <c r="F57" s="293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W3:Y3"/>
    <mergeCell ref="S3:U3"/>
    <mergeCell ref="AE3:AH3"/>
    <mergeCell ref="AN3:AQ3"/>
    <mergeCell ref="AK3:AM3"/>
    <mergeCell ref="H3:H4"/>
    <mergeCell ref="C56:C57"/>
    <mergeCell ref="D56:D57"/>
    <mergeCell ref="E56:E57"/>
    <mergeCell ref="F56:F57"/>
    <mergeCell ref="G3:G4"/>
    <mergeCell ref="B56:B57"/>
    <mergeCell ref="B3:B4"/>
    <mergeCell ref="C3:C4"/>
    <mergeCell ref="D3:D4"/>
    <mergeCell ref="F3:F4"/>
    <mergeCell ref="E3:E4"/>
  </mergeCells>
  <conditionalFormatting sqref="O18">
    <cfRule type="cellIs" dxfId="74" priority="4" operator="lessThan">
      <formula>0.88</formula>
    </cfRule>
  </conditionalFormatting>
  <conditionalFormatting sqref="T22:T36">
    <cfRule type="cellIs" dxfId="73" priority="2" operator="equal">
      <formula>0.9</formula>
    </cfRule>
    <cfRule type="cellIs" dxfId="72" priority="3" operator="greaterThan">
      <formula>0.9</formula>
    </cfRule>
  </conditionalFormatting>
  <conditionalFormatting sqref="AH5:AH19">
    <cfRule type="cellIs" dxfId="71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90" t="s">
        <v>34</v>
      </c>
      <c r="C3" s="290" t="s">
        <v>35</v>
      </c>
      <c r="D3" s="292" t="s">
        <v>99</v>
      </c>
      <c r="E3" s="290" t="s">
        <v>37</v>
      </c>
      <c r="F3" s="292" t="s">
        <v>39</v>
      </c>
      <c r="G3" s="292" t="s">
        <v>100</v>
      </c>
      <c r="H3" s="292" t="s">
        <v>40</v>
      </c>
      <c r="I3" s="292" t="s">
        <v>97</v>
      </c>
      <c r="J3" s="292" t="s">
        <v>101</v>
      </c>
      <c r="K3" s="292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91"/>
      <c r="C4" s="291"/>
      <c r="D4" s="293"/>
      <c r="E4" s="291"/>
      <c r="F4" s="293"/>
      <c r="G4" s="293"/>
      <c r="H4" s="293"/>
      <c r="I4" s="293"/>
      <c r="J4" s="293"/>
      <c r="K4" s="293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dimension ref="B1:BO75"/>
  <sheetViews>
    <sheetView topLeftCell="F27" zoomScale="103" workbookViewId="0">
      <selection activeCell="I40" sqref="I40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98" t="s">
        <v>154</v>
      </c>
      <c r="AJ1" s="298"/>
      <c r="AK1" s="298"/>
      <c r="AL1" s="298"/>
      <c r="AM1" s="298"/>
      <c r="AN1" s="298"/>
      <c r="AO1" s="298"/>
      <c r="AP1" s="298"/>
      <c r="AQ1" s="298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98" t="s">
        <v>160</v>
      </c>
      <c r="O2" s="298"/>
      <c r="P2" s="298"/>
      <c r="Q2" s="298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95" t="s">
        <v>161</v>
      </c>
      <c r="AD3" s="295"/>
      <c r="AE3" s="299" t="s">
        <v>162</v>
      </c>
      <c r="AF3" s="299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0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ref="I4:I16" si="1">H4/G4</f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ref="L4:L16" si="2">K4/J4</f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90" t="s">
        <v>34</v>
      </c>
      <c r="W4" s="292" t="s">
        <v>35</v>
      </c>
      <c r="X4" s="292" t="s">
        <v>36</v>
      </c>
      <c r="Y4" s="292" t="s">
        <v>165</v>
      </c>
      <c r="Z4" s="292" t="s">
        <v>166</v>
      </c>
      <c r="AA4" s="292" t="s">
        <v>39</v>
      </c>
      <c r="AB4" s="292" t="s">
        <v>165</v>
      </c>
      <c r="AC4" s="292" t="s">
        <v>97</v>
      </c>
      <c r="AD4" s="292" t="s">
        <v>93</v>
      </c>
      <c r="AE4" s="292" t="s">
        <v>97</v>
      </c>
      <c r="AF4" s="292" t="s">
        <v>93</v>
      </c>
      <c r="AI4" s="290" t="s">
        <v>34</v>
      </c>
      <c r="AJ4" s="290" t="s">
        <v>35</v>
      </c>
      <c r="AK4" s="292" t="s">
        <v>36</v>
      </c>
      <c r="AL4" s="292" t="s">
        <v>165</v>
      </c>
      <c r="AM4" s="292" t="s">
        <v>89</v>
      </c>
      <c r="AN4" s="292" t="s">
        <v>39</v>
      </c>
      <c r="AO4" s="292" t="s">
        <v>165</v>
      </c>
      <c r="AP4" s="292" t="s">
        <v>97</v>
      </c>
      <c r="AQ4" s="292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0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1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2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91"/>
      <c r="W5" s="293"/>
      <c r="X5" s="293"/>
      <c r="Y5" s="293"/>
      <c r="Z5" s="293"/>
      <c r="AA5" s="293"/>
      <c r="AB5" s="293"/>
      <c r="AC5" s="293"/>
      <c r="AD5" s="293"/>
      <c r="AE5" s="293"/>
      <c r="AF5" s="293"/>
      <c r="AI5" s="291"/>
      <c r="AJ5" s="291"/>
      <c r="AK5" s="293"/>
      <c r="AL5" s="293"/>
      <c r="AM5" s="293"/>
      <c r="AN5" s="293"/>
      <c r="AO5" s="293"/>
      <c r="AP5" s="293"/>
      <c r="AQ5" s="293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0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1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2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0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1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2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0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1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2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0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1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2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0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1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2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0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1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2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0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1"/>
        <v>0.91857142857142871</v>
      </c>
      <c r="J12" s="21">
        <f>VLOOKUP(F12,'OR Q1'!$J$4:$N$18,'OR Q1'!$N$3,FALSE)</f>
        <v>0.83</v>
      </c>
      <c r="K12" s="91">
        <v>1</v>
      </c>
      <c r="L12" s="27">
        <f t="shared" si="2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0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1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2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0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1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2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0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1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2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0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1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2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0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0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0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0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0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0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0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0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0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0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0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0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0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0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0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0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0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0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0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0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0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Z4:Z5"/>
    <mergeCell ref="N2:Q2"/>
    <mergeCell ref="V4:V5"/>
    <mergeCell ref="W4:W5"/>
    <mergeCell ref="X4:X5"/>
    <mergeCell ref="Y4:Y5"/>
    <mergeCell ref="AA4:AA5"/>
    <mergeCell ref="AB4:AB5"/>
    <mergeCell ref="AC4:AC5"/>
    <mergeCell ref="AD4:AD5"/>
    <mergeCell ref="AC3:AD3"/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</mergeCells>
  <conditionalFormatting sqref="J41:J73">
    <cfRule type="cellIs" dxfId="70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dimension ref="B3:AM73"/>
  <sheetViews>
    <sheetView zoomScale="95" workbookViewId="0">
      <selection activeCell="P12" sqref="P12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300" t="s">
        <v>2</v>
      </c>
      <c r="AE3" s="300"/>
      <c r="AF3" s="300" t="s">
        <v>3</v>
      </c>
      <c r="AG3" s="300"/>
      <c r="AH3" s="301" t="s">
        <v>4</v>
      </c>
      <c r="AI3" s="302"/>
      <c r="AJ3" s="300" t="s">
        <v>5</v>
      </c>
      <c r="AK3" s="300"/>
      <c r="AL3" s="300" t="s">
        <v>182</v>
      </c>
      <c r="AM3" s="300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94">
        <v>1</v>
      </c>
      <c r="AE4" s="303">
        <v>0.75571428571428578</v>
      </c>
      <c r="AF4" s="294">
        <v>3</v>
      </c>
      <c r="AG4" s="303">
        <v>1.053409090909091</v>
      </c>
      <c r="AH4" s="294">
        <v>3</v>
      </c>
      <c r="AI4" s="303">
        <v>1</v>
      </c>
      <c r="AJ4" s="294">
        <v>3</v>
      </c>
      <c r="AK4" s="303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94"/>
      <c r="AE5" s="303"/>
      <c r="AF5" s="294"/>
      <c r="AG5" s="303"/>
      <c r="AH5" s="294"/>
      <c r="AI5" s="303"/>
      <c r="AJ5" s="294"/>
      <c r="AK5" s="303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AD9" s="300" t="s">
        <v>43</v>
      </c>
      <c r="AE9" s="300"/>
      <c r="AF9" s="300" t="s">
        <v>8</v>
      </c>
      <c r="AG9" s="300"/>
      <c r="AH9" s="300" t="s">
        <v>9</v>
      </c>
      <c r="AI9" s="300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AD10" s="23">
        <v>1</v>
      </c>
      <c r="AE10" s="27">
        <v>0.75</v>
      </c>
      <c r="AF10" s="303" t="s">
        <v>183</v>
      </c>
      <c r="AG10" s="303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300" t="s">
        <v>10</v>
      </c>
      <c r="AE12" s="300"/>
      <c r="AF12" s="300" t="s">
        <v>11</v>
      </c>
      <c r="AG12" s="300"/>
      <c r="AH12" s="300" t="s">
        <v>12</v>
      </c>
      <c r="AI12" s="300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184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F10:AG10"/>
    <mergeCell ref="AH12:AI12"/>
    <mergeCell ref="AF12:AG12"/>
    <mergeCell ref="AD12:AE12"/>
    <mergeCell ref="AI4:AI5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D3:AE3"/>
    <mergeCell ref="AF3:AG3"/>
    <mergeCell ref="AH3:AI3"/>
    <mergeCell ref="AJ3:AK3"/>
    <mergeCell ref="AL3:AM3"/>
  </mergeCells>
  <conditionalFormatting sqref="C4:M18">
    <cfRule type="cellIs" dxfId="69" priority="11" operator="lessThan">
      <formula>1</formula>
    </cfRule>
  </conditionalFormatting>
  <conditionalFormatting sqref="N40:N54">
    <cfRule type="cellIs" dxfId="68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dimension ref="B1:AL78"/>
  <sheetViews>
    <sheetView workbookViewId="0">
      <selection activeCell="B2" sqref="B2:C16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1" spans="2:38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</row>
    <row r="2" spans="2:38" x14ac:dyDescent="0.25">
      <c r="C2" s="181" t="s">
        <v>143</v>
      </c>
      <c r="D2" s="182" t="s">
        <v>2</v>
      </c>
      <c r="E2" s="181" t="s">
        <v>185</v>
      </c>
      <c r="F2" s="181" t="s">
        <v>145</v>
      </c>
      <c r="G2" s="182" t="s">
        <v>3</v>
      </c>
      <c r="H2" s="181" t="s">
        <v>185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90" t="s">
        <v>34</v>
      </c>
      <c r="K3" s="290" t="s">
        <v>35</v>
      </c>
      <c r="L3" s="290" t="s">
        <v>186</v>
      </c>
      <c r="M3" s="290" t="s">
        <v>10</v>
      </c>
      <c r="N3" s="292" t="s">
        <v>89</v>
      </c>
      <c r="O3" s="292" t="s">
        <v>90</v>
      </c>
      <c r="P3" s="290" t="s">
        <v>11</v>
      </c>
      <c r="Q3" s="292" t="s">
        <v>97</v>
      </c>
      <c r="R3" s="292" t="s">
        <v>93</v>
      </c>
      <c r="S3" s="292" t="s">
        <v>97</v>
      </c>
      <c r="T3" s="292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91"/>
      <c r="K4" s="291"/>
      <c r="L4" s="291"/>
      <c r="M4" s="291"/>
      <c r="N4" s="293"/>
      <c r="O4" s="293"/>
      <c r="P4" s="291"/>
      <c r="Q4" s="293"/>
      <c r="R4" s="293"/>
      <c r="S4" s="293"/>
      <c r="T4" s="293"/>
      <c r="W4" s="192" t="s">
        <v>34</v>
      </c>
      <c r="X4" s="161" t="s">
        <v>103</v>
      </c>
      <c r="Y4" s="161" t="s">
        <v>187</v>
      </c>
      <c r="Z4" s="161" t="s">
        <v>185</v>
      </c>
      <c r="AB4" s="161" t="s">
        <v>188</v>
      </c>
      <c r="AC4" s="161" t="s">
        <v>189</v>
      </c>
      <c r="AG4" s="196" t="s">
        <v>1</v>
      </c>
      <c r="AH4" s="195" t="s">
        <v>190</v>
      </c>
      <c r="AK4" s="23" t="s">
        <v>188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0.92592592592592582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191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J40" t="s">
        <v>192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193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P3:P4"/>
    <mergeCell ref="Q3:Q4"/>
    <mergeCell ref="R3:R4"/>
    <mergeCell ref="S3:S4"/>
    <mergeCell ref="T3:T4"/>
    <mergeCell ref="J3:J4"/>
    <mergeCell ref="K3:K4"/>
    <mergeCell ref="L3:L4"/>
    <mergeCell ref="N3:N4"/>
    <mergeCell ref="O3:O4"/>
    <mergeCell ref="M3:M4"/>
  </mergeCells>
  <conditionalFormatting sqref="D3">
    <cfRule type="cellIs" dxfId="67" priority="24" operator="lessThan">
      <formula>0.78</formula>
    </cfRule>
  </conditionalFormatting>
  <conditionalFormatting sqref="D4">
    <cfRule type="cellIs" dxfId="66" priority="23" operator="lessThan">
      <formula>0.92</formula>
    </cfRule>
  </conditionalFormatting>
  <conditionalFormatting sqref="D5">
    <cfRule type="cellIs" dxfId="65" priority="22" operator="lessThan">
      <formula>0.85</formula>
    </cfRule>
  </conditionalFormatting>
  <conditionalFormatting sqref="D6">
    <cfRule type="cellIs" dxfId="64" priority="21" operator="lessThan">
      <formula>0.86</formula>
    </cfRule>
  </conditionalFormatting>
  <conditionalFormatting sqref="D7">
    <cfRule type="cellIs" dxfId="63" priority="12" operator="lessThan">
      <formula>0.82</formula>
    </cfRule>
  </conditionalFormatting>
  <conditionalFormatting sqref="D8">
    <cfRule type="cellIs" dxfId="62" priority="20" operator="lessThan">
      <formula>0.94</formula>
    </cfRule>
  </conditionalFormatting>
  <conditionalFormatting sqref="D9">
    <cfRule type="cellIs" dxfId="61" priority="18" operator="lessThan">
      <formula>0.85</formula>
    </cfRule>
  </conditionalFormatting>
  <conditionalFormatting sqref="D10">
    <cfRule type="cellIs" dxfId="60" priority="17" operator="lessThan">
      <formula>0.7</formula>
    </cfRule>
  </conditionalFormatting>
  <conditionalFormatting sqref="D11">
    <cfRule type="cellIs" dxfId="59" priority="16" operator="lessThan">
      <formula>0.75</formula>
    </cfRule>
  </conditionalFormatting>
  <conditionalFormatting sqref="D12:D13">
    <cfRule type="cellIs" dxfId="58" priority="15" operator="lessThan">
      <formula>0.7</formula>
    </cfRule>
  </conditionalFormatting>
  <conditionalFormatting sqref="D14">
    <cfRule type="cellIs" dxfId="57" priority="14" operator="lessThan">
      <formula>0.84</formula>
    </cfRule>
  </conditionalFormatting>
  <conditionalFormatting sqref="D15:D16">
    <cfRule type="cellIs" dxfId="56" priority="13" operator="lessThan">
      <formula>0.7</formula>
    </cfRule>
  </conditionalFormatting>
  <conditionalFormatting sqref="G3:G4">
    <cfRule type="cellIs" dxfId="55" priority="9" operator="lessThan">
      <formula>0.92</formula>
    </cfRule>
  </conditionalFormatting>
  <conditionalFormatting sqref="G5">
    <cfRule type="cellIs" dxfId="54" priority="8" operator="lessThan">
      <formula>0.94</formula>
    </cfRule>
  </conditionalFormatting>
  <conditionalFormatting sqref="G6">
    <cfRule type="cellIs" dxfId="53" priority="7" operator="lessThan">
      <formula>0.9</formula>
    </cfRule>
  </conditionalFormatting>
  <conditionalFormatting sqref="G7">
    <cfRule type="cellIs" dxfId="52" priority="1" operator="lessThan">
      <formula>0.91</formula>
    </cfRule>
  </conditionalFormatting>
  <conditionalFormatting sqref="G8">
    <cfRule type="cellIs" dxfId="51" priority="6" operator="lessThan">
      <formula>0.95</formula>
    </cfRule>
  </conditionalFormatting>
  <conditionalFormatting sqref="G9">
    <cfRule type="cellIs" dxfId="50" priority="4" operator="lessThan">
      <formula>0.87</formula>
    </cfRule>
  </conditionalFormatting>
  <conditionalFormatting sqref="G10:G13">
    <cfRule type="cellIs" dxfId="49" priority="3" operator="lessThan">
      <formula>0.83</formula>
    </cfRule>
  </conditionalFormatting>
  <conditionalFormatting sqref="G14">
    <cfRule type="cellIs" dxfId="48" priority="11" operator="lessThan">
      <formula>0.9</formula>
    </cfRule>
  </conditionalFormatting>
  <conditionalFormatting sqref="G15:G16">
    <cfRule type="cellIs" dxfId="47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dimension ref="B3:O72"/>
  <sheetViews>
    <sheetView showGridLines="0" zoomScale="117" workbookViewId="0">
      <selection activeCell="G66" sqref="G66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194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0.92592592592592582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0.90117258381477716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1">
        <f>VLOOKUP(B13,'OR SEP'!$J$42:$M$57,'OR SEP'!$K$41,FALSE)</f>
        <v>0.96635559034971086</v>
      </c>
      <c r="L13" s="21">
        <f>VLOOKUP(B13,'OR SEP'!$J$42:$M$57,'OR SEP'!$L$41,FALSE)</f>
        <v>0.97959183673469385</v>
      </c>
      <c r="M13" s="21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3.7037037037037035E-2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0.90117258381477716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195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196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46" priority="4" operator="lessThan">
      <formula>0.95</formula>
    </cfRule>
    <cfRule type="cellIs" dxfId="45" priority="5" operator="between">
      <formula>0.99</formula>
      <formula>0.95</formula>
    </cfRule>
  </conditionalFormatting>
  <conditionalFormatting sqref="N40:N54">
    <cfRule type="cellIs" dxfId="44" priority="7" operator="lessThan">
      <formula>0.9</formula>
    </cfRule>
  </conditionalFormatting>
  <conditionalFormatting sqref="O4:O18">
    <cfRule type="cellIs" dxfId="43" priority="1" operator="lessThan">
      <formula>0.9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66DE-ECCB-46E5-909D-5B8333143AC7}">
  <dimension ref="A1"/>
  <sheetViews>
    <sheetView topLeftCell="A12" workbookViewId="0">
      <selection activeCell="G9" sqref="G9"/>
    </sheetView>
  </sheetViews>
  <sheetFormatPr baseColWidth="10" defaultColWidth="8.85546875" defaultRowHeight="15" x14ac:dyDescent="0.25"/>
  <cols>
    <col min="3" max="3" width="10" customWidth="1"/>
    <col min="7" max="7" width="10.5703125" customWidth="1"/>
    <col min="8" max="8" width="11.7109375" bestFit="1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877F5-3F68-4892-B964-1FC83AC597B2}">
  <dimension ref="B3:R54"/>
  <sheetViews>
    <sheetView workbookViewId="0">
      <selection activeCell="B3" sqref="B3:N54"/>
    </sheetView>
  </sheetViews>
  <sheetFormatPr baseColWidth="10" defaultColWidth="8.85546875" defaultRowHeight="15" x14ac:dyDescent="0.25"/>
  <sheetData>
    <row r="3" spans="2:18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8" x14ac:dyDescent="0.25">
      <c r="B4" s="14" t="s">
        <v>13</v>
      </c>
      <c r="C4" s="256"/>
      <c r="D4" s="256"/>
      <c r="E4" s="256"/>
      <c r="F4" s="256"/>
      <c r="G4" s="256"/>
      <c r="H4" s="256"/>
      <c r="I4" s="256"/>
      <c r="J4" s="256"/>
      <c r="K4" s="256" t="e">
        <f>VLOOKUP(B4,OROCT!$B$3:$H$34,OROCT!$G$2,FALSE)</f>
        <v>#N/A</v>
      </c>
      <c r="L4" s="256" t="e">
        <f>VLOOKUP(B4,OROCT!$B$3:$H$34,OROCT!$H$2,FALSE)</f>
        <v>#N/A</v>
      </c>
      <c r="M4" s="256"/>
      <c r="P4">
        <v>2390</v>
      </c>
    </row>
    <row r="5" spans="2:18" x14ac:dyDescent="0.25">
      <c r="B5" s="14" t="s">
        <v>14</v>
      </c>
      <c r="C5" s="256"/>
      <c r="D5" s="256"/>
      <c r="E5" s="256"/>
      <c r="F5" s="256"/>
      <c r="G5" s="256"/>
      <c r="H5" s="256"/>
      <c r="I5" s="256"/>
      <c r="J5" s="256"/>
      <c r="K5" s="256" t="e">
        <f>VLOOKUP(B5,OROCT!$B$3:$H$34,OROCT!$G$2,FALSE)</f>
        <v>#N/A</v>
      </c>
      <c r="L5" s="256" t="e">
        <f>VLOOKUP(B5,OROCT!$B$3:$H$34,OROCT!$H$2,FALSE)</f>
        <v>#N/A</v>
      </c>
      <c r="M5" s="256"/>
    </row>
    <row r="6" spans="2:18" x14ac:dyDescent="0.25">
      <c r="B6" s="14" t="s">
        <v>15</v>
      </c>
      <c r="C6" s="256"/>
      <c r="D6" s="256"/>
      <c r="E6" s="256"/>
      <c r="F6" s="256"/>
      <c r="G6" s="256"/>
      <c r="H6" s="256"/>
      <c r="I6" s="256"/>
      <c r="J6" s="256"/>
      <c r="K6" s="256" t="e">
        <f>VLOOKUP(B6,OROCT!$B$3:$H$34,OROCT!$G$2,FALSE)</f>
        <v>#N/A</v>
      </c>
      <c r="L6" s="256" t="e">
        <f>VLOOKUP(B6,OROCT!$B$3:$H$34,OROCT!$H$2,FALSE)</f>
        <v>#N/A</v>
      </c>
      <c r="M6" s="256"/>
      <c r="P6">
        <v>2006</v>
      </c>
      <c r="Q6">
        <f>P4-P6</f>
        <v>384</v>
      </c>
    </row>
    <row r="7" spans="2:18" x14ac:dyDescent="0.25">
      <c r="B7" s="14" t="s">
        <v>16</v>
      </c>
      <c r="C7" s="256"/>
      <c r="D7" s="256"/>
      <c r="E7" s="256"/>
      <c r="F7" s="256"/>
      <c r="G7" s="256"/>
      <c r="H7" s="256"/>
      <c r="I7" s="256"/>
      <c r="J7" s="256"/>
      <c r="K7" s="256" t="e">
        <f>VLOOKUP(B7,OROCT!$B$3:$H$34,OROCT!$G$2,FALSE)</f>
        <v>#N/A</v>
      </c>
      <c r="L7" s="256" t="e">
        <f>VLOOKUP(B7,OROCT!$B$3:$H$34,OROCT!$H$2,FALSE)</f>
        <v>#N/A</v>
      </c>
      <c r="M7" s="256"/>
      <c r="P7" s="88">
        <f>P6/P4</f>
        <v>0.8393305439330544</v>
      </c>
    </row>
    <row r="8" spans="2:18" x14ac:dyDescent="0.25">
      <c r="B8" s="14" t="s">
        <v>17</v>
      </c>
      <c r="C8" s="256"/>
      <c r="D8" s="256"/>
      <c r="E8" s="256"/>
      <c r="F8" s="256"/>
      <c r="G8" s="256"/>
      <c r="H8" s="256"/>
      <c r="I8" s="256"/>
      <c r="J8" s="256"/>
      <c r="K8" s="256" t="e">
        <f>VLOOKUP(B8,OROCT!$B$3:$H$34,OROCT!$G$2,FALSE)</f>
        <v>#N/A</v>
      </c>
      <c r="L8" s="256" t="e">
        <f>VLOOKUP(B8,OROCT!$B$3:$H$34,OROCT!$H$2,FALSE)</f>
        <v>#N/A</v>
      </c>
      <c r="M8" s="256"/>
      <c r="P8">
        <v>3.4</v>
      </c>
    </row>
    <row r="9" spans="2:18" x14ac:dyDescent="0.25">
      <c r="B9" s="14" t="s">
        <v>18</v>
      </c>
      <c r="C9" s="256"/>
      <c r="D9" s="256"/>
      <c r="E9" s="256"/>
      <c r="F9" s="256"/>
      <c r="G9" s="256"/>
      <c r="H9" s="256"/>
      <c r="I9" s="256"/>
      <c r="J9" s="256"/>
      <c r="K9" s="256" t="e">
        <f>VLOOKUP(B9,OROCT!$B$3:$H$34,OROCT!$G$2,FALSE)</f>
        <v>#N/A</v>
      </c>
      <c r="L9" s="256" t="e">
        <f>VLOOKUP(B9,OROCT!$B$3:$H$34,OROCT!$H$2,FALSE)</f>
        <v>#N/A</v>
      </c>
      <c r="M9" s="256"/>
      <c r="P9">
        <v>2.2999999999999998</v>
      </c>
    </row>
    <row r="10" spans="2:18" x14ac:dyDescent="0.25">
      <c r="B10" s="14" t="s">
        <v>19</v>
      </c>
      <c r="C10" s="256"/>
      <c r="D10" s="256"/>
      <c r="E10" s="256"/>
      <c r="F10" s="256"/>
      <c r="G10" s="256"/>
      <c r="H10" s="256"/>
      <c r="I10" s="256"/>
      <c r="J10" s="256"/>
      <c r="K10" s="256" t="e">
        <f>VLOOKUP(B10,OROCT!$B$3:$H$34,OROCT!$G$2,FALSE)</f>
        <v>#N/A</v>
      </c>
      <c r="L10" s="256" t="e">
        <f>VLOOKUP(B10,OROCT!$B$3:$H$34,OROCT!$H$2,FALSE)</f>
        <v>#N/A</v>
      </c>
      <c r="M10" s="256"/>
      <c r="P10" s="88">
        <f>P9/P8</f>
        <v>0.67647058823529405</v>
      </c>
    </row>
    <row r="11" spans="2:18" x14ac:dyDescent="0.25">
      <c r="B11" s="14" t="s">
        <v>20</v>
      </c>
      <c r="C11" s="256"/>
      <c r="D11" s="256"/>
      <c r="E11" s="256"/>
      <c r="F11" s="256"/>
      <c r="G11" s="256"/>
      <c r="H11" s="256"/>
      <c r="I11" s="256"/>
      <c r="J11" s="256"/>
      <c r="K11" s="256" t="e">
        <f>VLOOKUP(B11,OROCT!$B$3:$H$34,OROCT!$G$2,FALSE)</f>
        <v>#N/A</v>
      </c>
      <c r="L11" s="256" t="e">
        <f>VLOOKUP(B11,OROCT!$B$3:$H$34,OROCT!$H$2,FALSE)</f>
        <v>#N/A</v>
      </c>
      <c r="M11" s="256"/>
    </row>
    <row r="12" spans="2:18" x14ac:dyDescent="0.25">
      <c r="B12" s="14" t="s">
        <v>21</v>
      </c>
      <c r="C12" s="256"/>
      <c r="D12" s="256"/>
      <c r="E12" s="256"/>
      <c r="F12" s="256"/>
      <c r="G12" s="256"/>
      <c r="H12" s="256"/>
      <c r="I12" s="256"/>
      <c r="J12" s="256"/>
      <c r="K12" s="256" t="e">
        <f>VLOOKUP(B12,OROCT!$B$3:$H$34,OROCT!$G$2,FALSE)</f>
        <v>#N/A</v>
      </c>
      <c r="L12" s="256" t="e">
        <f>VLOOKUP(B12,OROCT!$B$3:$H$34,OROCT!$H$2,FALSE)</f>
        <v>#N/A</v>
      </c>
      <c r="M12" s="256"/>
    </row>
    <row r="13" spans="2:18" x14ac:dyDescent="0.25">
      <c r="B13" s="14" t="s">
        <v>22</v>
      </c>
      <c r="C13" s="256">
        <v>1.0900000000000001</v>
      </c>
      <c r="D13" s="256">
        <v>1.0863636363636364</v>
      </c>
      <c r="E13" s="256">
        <v>1</v>
      </c>
      <c r="F13" s="256">
        <v>1.1111111111111112</v>
      </c>
      <c r="G13" s="256">
        <v>1.0887536216474836</v>
      </c>
      <c r="H13" s="256">
        <v>1</v>
      </c>
      <c r="I13" s="256">
        <v>1</v>
      </c>
      <c r="J13" s="256">
        <v>1</v>
      </c>
      <c r="K13" s="256">
        <v>0.68</v>
      </c>
      <c r="L13" s="256" t="e">
        <f>VLOOKUP(B13,OROCT!$B$3:$H$34,OROCT!$H$2,FALSE)</f>
        <v>#N/A</v>
      </c>
      <c r="M13" s="256">
        <v>0.84</v>
      </c>
      <c r="P13" s="256">
        <v>1.0420429376444948</v>
      </c>
      <c r="Q13" s="256">
        <v>0.97959183673469385</v>
      </c>
      <c r="R13" s="256">
        <v>0.74046372475691846</v>
      </c>
    </row>
    <row r="14" spans="2:18" x14ac:dyDescent="0.25">
      <c r="B14" s="14" t="s">
        <v>23</v>
      </c>
      <c r="C14" s="256"/>
      <c r="D14" s="256"/>
      <c r="E14" s="256"/>
      <c r="F14" s="256"/>
      <c r="G14" s="256"/>
      <c r="H14" s="256"/>
      <c r="I14" s="256"/>
      <c r="J14" s="256"/>
      <c r="K14" s="256" t="e">
        <f>VLOOKUP(B14,OROCT!$B$3:$H$34,OROCT!$G$2,FALSE)</f>
        <v>#N/A</v>
      </c>
      <c r="L14" s="256" t="e">
        <f>VLOOKUP(B14,OROCT!$B$3:$H$34,OROCT!$H$2,FALSE)</f>
        <v>#N/A</v>
      </c>
      <c r="M14" s="256"/>
    </row>
    <row r="15" spans="2:18" x14ac:dyDescent="0.25">
      <c r="B15" s="14" t="s">
        <v>25</v>
      </c>
      <c r="C15" s="256"/>
      <c r="D15" s="256"/>
      <c r="E15" s="256"/>
      <c r="F15" s="256"/>
      <c r="G15" s="256"/>
      <c r="H15" s="256"/>
      <c r="I15" s="256"/>
      <c r="J15" s="256"/>
      <c r="K15" s="256" t="e">
        <f>VLOOKUP(B15,OROCT!$B$3:$H$34,OROCT!$G$2,FALSE)</f>
        <v>#N/A</v>
      </c>
      <c r="L15" s="256" t="e">
        <f>VLOOKUP(B15,OROCT!$B$3:$H$34,OROCT!$H$2,FALSE)</f>
        <v>#N/A</v>
      </c>
      <c r="M15" s="256"/>
    </row>
    <row r="16" spans="2:18" x14ac:dyDescent="0.25">
      <c r="B16" s="14" t="s">
        <v>26</v>
      </c>
      <c r="C16" s="256"/>
      <c r="D16" s="256"/>
      <c r="E16" s="256"/>
      <c r="F16" s="256"/>
      <c r="G16" s="256"/>
      <c r="H16" s="256"/>
      <c r="I16" s="256"/>
      <c r="J16" s="256"/>
      <c r="K16" s="256" t="e">
        <f>VLOOKUP(B16,OROCT!$B$3:$H$34,OROCT!$G$2,FALSE)</f>
        <v>#N/A</v>
      </c>
      <c r="L16" s="256" t="e">
        <f>VLOOKUP(B16,OROCT!$B$3:$H$34,OROCT!$H$2,FALSE)</f>
        <v>#N/A</v>
      </c>
      <c r="M16" s="256"/>
    </row>
    <row r="17" spans="2:14" x14ac:dyDescent="0.25">
      <c r="B17" s="14" t="s">
        <v>27</v>
      </c>
      <c r="C17" s="256"/>
      <c r="D17" s="256"/>
      <c r="E17" s="256"/>
      <c r="F17" s="256"/>
      <c r="G17" s="256"/>
      <c r="H17" s="256"/>
      <c r="I17" s="256"/>
      <c r="J17" s="256"/>
      <c r="K17" s="256" t="e">
        <f>VLOOKUP(B17,OROCT!$B$3:$H$34,OROCT!$G$2,FALSE)</f>
        <v>#N/A</v>
      </c>
      <c r="L17" s="256" t="e">
        <f>VLOOKUP(B17,OROCT!$B$3:$H$34,OROCT!$H$2,FALSE)</f>
        <v>#N/A</v>
      </c>
      <c r="M17" s="256"/>
    </row>
    <row r="18" spans="2:14" x14ac:dyDescent="0.25">
      <c r="B18" s="14" t="s">
        <v>78</v>
      </c>
      <c r="C18" s="256"/>
      <c r="D18" s="256"/>
      <c r="E18" s="256"/>
      <c r="F18" s="256"/>
      <c r="G18" s="256"/>
      <c r="H18" s="256"/>
      <c r="I18" s="256"/>
      <c r="J18" s="256"/>
      <c r="K18" s="256" t="e">
        <f>VLOOKUP(B18,OROCT!$B$3:$H$34,OROCT!$G$2,FALSE)</f>
        <v>#N/A</v>
      </c>
      <c r="L18" s="256" t="e">
        <f>VLOOKUP(B18,OROCT!$B$3:$H$34,OROCT!$H$2,FALSE)</f>
        <v>#N/A</v>
      </c>
      <c r="M18" s="256"/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4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4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4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4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4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4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4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4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4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4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</v>
      </c>
      <c r="D40" s="21">
        <f t="shared" ref="D40:M40" si="1">IF(D4&gt;=100%,D22,(D4*D22)/100%)</f>
        <v>0</v>
      </c>
      <c r="E40" s="21">
        <f t="shared" si="1"/>
        <v>0</v>
      </c>
      <c r="F40" s="21">
        <f t="shared" si="1"/>
        <v>0</v>
      </c>
      <c r="G40" s="21">
        <f t="shared" si="1"/>
        <v>0</v>
      </c>
      <c r="H40" s="21">
        <f t="shared" si="1"/>
        <v>0</v>
      </c>
      <c r="I40" s="21">
        <f t="shared" si="1"/>
        <v>0</v>
      </c>
      <c r="J40" s="21">
        <f t="shared" si="1"/>
        <v>0</v>
      </c>
      <c r="K40" s="21" t="e">
        <f t="shared" si="1"/>
        <v>#N/A</v>
      </c>
      <c r="L40" s="21" t="e">
        <f t="shared" si="1"/>
        <v>#N/A</v>
      </c>
      <c r="M40" s="21">
        <f t="shared" si="1"/>
        <v>0</v>
      </c>
      <c r="N40" s="24" t="e">
        <f>SUM(C40:M40)</f>
        <v>#N/A</v>
      </c>
    </row>
    <row r="41" spans="2:14" x14ac:dyDescent="0.25">
      <c r="B41" s="14" t="s">
        <v>14</v>
      </c>
      <c r="C41" s="21">
        <f t="shared" ref="C41:M54" si="2">IF(C5&gt;=100%,C23,(C5*C23)/100%)</f>
        <v>0</v>
      </c>
      <c r="D41" s="21">
        <f t="shared" si="2"/>
        <v>0</v>
      </c>
      <c r="E41" s="21">
        <f t="shared" si="2"/>
        <v>0</v>
      </c>
      <c r="F41" s="21">
        <f t="shared" si="2"/>
        <v>0</v>
      </c>
      <c r="G41" s="21">
        <f t="shared" si="2"/>
        <v>0</v>
      </c>
      <c r="H41" s="21">
        <f t="shared" si="2"/>
        <v>0</v>
      </c>
      <c r="I41" s="21">
        <f t="shared" si="2"/>
        <v>0</v>
      </c>
      <c r="J41" s="21">
        <f t="shared" si="2"/>
        <v>0</v>
      </c>
      <c r="K41" s="21" t="e">
        <f t="shared" si="2"/>
        <v>#N/A</v>
      </c>
      <c r="L41" s="21" t="e">
        <f t="shared" si="2"/>
        <v>#N/A</v>
      </c>
      <c r="M41" s="21">
        <f t="shared" si="2"/>
        <v>0</v>
      </c>
      <c r="N41" s="24" t="e">
        <f t="shared" ref="N41:N54" si="3">SUM(C41:M41)</f>
        <v>#N/A</v>
      </c>
    </row>
    <row r="42" spans="2:14" x14ac:dyDescent="0.25">
      <c r="B42" s="14" t="s">
        <v>15</v>
      </c>
      <c r="C42" s="21">
        <f t="shared" si="2"/>
        <v>0</v>
      </c>
      <c r="D42" s="21">
        <f t="shared" si="2"/>
        <v>0</v>
      </c>
      <c r="E42" s="21">
        <f t="shared" si="2"/>
        <v>0</v>
      </c>
      <c r="F42" s="21">
        <f t="shared" si="2"/>
        <v>0</v>
      </c>
      <c r="G42" s="21">
        <f t="shared" si="2"/>
        <v>0</v>
      </c>
      <c r="H42" s="21">
        <f t="shared" si="2"/>
        <v>0</v>
      </c>
      <c r="I42" s="21">
        <f t="shared" si="2"/>
        <v>0</v>
      </c>
      <c r="J42" s="21">
        <f t="shared" si="2"/>
        <v>0</v>
      </c>
      <c r="K42" s="21" t="e">
        <f t="shared" si="2"/>
        <v>#N/A</v>
      </c>
      <c r="L42" s="21" t="e">
        <f t="shared" si="2"/>
        <v>#N/A</v>
      </c>
      <c r="M42" s="21">
        <f t="shared" si="2"/>
        <v>0</v>
      </c>
      <c r="N42" s="24" t="e">
        <f t="shared" si="3"/>
        <v>#N/A</v>
      </c>
    </row>
    <row r="43" spans="2:14" x14ac:dyDescent="0.25">
      <c r="B43" s="14" t="s">
        <v>16</v>
      </c>
      <c r="C43" s="21">
        <f t="shared" si="2"/>
        <v>0</v>
      </c>
      <c r="D43" s="21">
        <f t="shared" si="2"/>
        <v>0</v>
      </c>
      <c r="E43" s="21">
        <f t="shared" si="2"/>
        <v>0</v>
      </c>
      <c r="F43" s="21">
        <f t="shared" si="2"/>
        <v>0</v>
      </c>
      <c r="G43" s="21">
        <f t="shared" si="2"/>
        <v>0</v>
      </c>
      <c r="H43" s="21">
        <f t="shared" si="2"/>
        <v>0</v>
      </c>
      <c r="I43" s="21">
        <f t="shared" si="2"/>
        <v>0</v>
      </c>
      <c r="J43" s="21">
        <f t="shared" si="2"/>
        <v>0</v>
      </c>
      <c r="K43" s="21" t="e">
        <f t="shared" si="2"/>
        <v>#N/A</v>
      </c>
      <c r="L43" s="21" t="e">
        <f t="shared" si="2"/>
        <v>#N/A</v>
      </c>
      <c r="M43" s="21">
        <f t="shared" si="2"/>
        <v>0</v>
      </c>
      <c r="N43" s="24" t="e">
        <f t="shared" si="3"/>
        <v>#N/A</v>
      </c>
    </row>
    <row r="44" spans="2:14" x14ac:dyDescent="0.25">
      <c r="B44" s="14" t="s">
        <v>17</v>
      </c>
      <c r="C44" s="21">
        <f t="shared" si="2"/>
        <v>0</v>
      </c>
      <c r="D44" s="21">
        <f t="shared" si="2"/>
        <v>0</v>
      </c>
      <c r="E44" s="21">
        <f t="shared" si="2"/>
        <v>0</v>
      </c>
      <c r="F44" s="21">
        <f t="shared" si="2"/>
        <v>0</v>
      </c>
      <c r="G44" s="21">
        <f t="shared" si="2"/>
        <v>0</v>
      </c>
      <c r="H44" s="21">
        <f t="shared" si="2"/>
        <v>0</v>
      </c>
      <c r="I44" s="21">
        <f t="shared" si="2"/>
        <v>0</v>
      </c>
      <c r="J44" s="21">
        <f t="shared" si="2"/>
        <v>0</v>
      </c>
      <c r="K44" s="21" t="e">
        <f t="shared" si="2"/>
        <v>#N/A</v>
      </c>
      <c r="L44" s="21" t="e">
        <f t="shared" si="2"/>
        <v>#N/A</v>
      </c>
      <c r="M44" s="21">
        <f t="shared" si="2"/>
        <v>0</v>
      </c>
      <c r="N44" s="24" t="e">
        <f t="shared" si="3"/>
        <v>#N/A</v>
      </c>
    </row>
    <row r="45" spans="2:14" x14ac:dyDescent="0.25">
      <c r="B45" s="14" t="s">
        <v>18</v>
      </c>
      <c r="C45" s="21">
        <f t="shared" si="2"/>
        <v>0</v>
      </c>
      <c r="D45" s="21">
        <f t="shared" si="2"/>
        <v>0</v>
      </c>
      <c r="E45" s="21">
        <f t="shared" si="2"/>
        <v>0</v>
      </c>
      <c r="F45" s="21">
        <f t="shared" si="2"/>
        <v>0</v>
      </c>
      <c r="G45" s="21">
        <f t="shared" si="2"/>
        <v>0</v>
      </c>
      <c r="H45" s="21">
        <f t="shared" si="2"/>
        <v>0</v>
      </c>
      <c r="I45" s="21">
        <f t="shared" si="2"/>
        <v>0</v>
      </c>
      <c r="J45" s="21">
        <f t="shared" si="2"/>
        <v>0</v>
      </c>
      <c r="K45" s="21" t="e">
        <f t="shared" si="2"/>
        <v>#N/A</v>
      </c>
      <c r="L45" s="21" t="e">
        <f t="shared" si="2"/>
        <v>#N/A</v>
      </c>
      <c r="M45" s="21">
        <f t="shared" si="2"/>
        <v>0</v>
      </c>
      <c r="N45" s="24" t="e">
        <f t="shared" si="3"/>
        <v>#N/A</v>
      </c>
    </row>
    <row r="46" spans="2:14" x14ac:dyDescent="0.25">
      <c r="B46" s="14" t="s">
        <v>19</v>
      </c>
      <c r="C46" s="21">
        <f t="shared" si="2"/>
        <v>0</v>
      </c>
      <c r="D46" s="21">
        <f t="shared" si="2"/>
        <v>0</v>
      </c>
      <c r="E46" s="21">
        <f t="shared" si="2"/>
        <v>0</v>
      </c>
      <c r="F46" s="21">
        <f t="shared" si="2"/>
        <v>0</v>
      </c>
      <c r="G46" s="21">
        <f t="shared" si="2"/>
        <v>0</v>
      </c>
      <c r="H46" s="21">
        <f t="shared" si="2"/>
        <v>0</v>
      </c>
      <c r="I46" s="21">
        <f t="shared" si="2"/>
        <v>0</v>
      </c>
      <c r="J46" s="21">
        <f t="shared" si="2"/>
        <v>0</v>
      </c>
      <c r="K46" s="21" t="e">
        <f t="shared" si="2"/>
        <v>#N/A</v>
      </c>
      <c r="L46" s="21" t="e">
        <f t="shared" si="2"/>
        <v>#N/A</v>
      </c>
      <c r="M46" s="21">
        <f t="shared" si="2"/>
        <v>0</v>
      </c>
      <c r="N46" s="24" t="e">
        <f t="shared" si="3"/>
        <v>#N/A</v>
      </c>
    </row>
    <row r="47" spans="2:14" x14ac:dyDescent="0.25">
      <c r="B47" s="14" t="s">
        <v>20</v>
      </c>
      <c r="C47" s="21">
        <f t="shared" si="2"/>
        <v>0</v>
      </c>
      <c r="D47" s="21">
        <f t="shared" si="2"/>
        <v>0</v>
      </c>
      <c r="E47" s="21">
        <f t="shared" si="2"/>
        <v>0</v>
      </c>
      <c r="F47" s="21">
        <f t="shared" si="2"/>
        <v>0</v>
      </c>
      <c r="G47" s="21">
        <f t="shared" si="2"/>
        <v>0</v>
      </c>
      <c r="H47" s="21">
        <f t="shared" si="2"/>
        <v>0</v>
      </c>
      <c r="I47" s="21">
        <f t="shared" si="2"/>
        <v>0</v>
      </c>
      <c r="J47" s="21">
        <f t="shared" si="2"/>
        <v>0</v>
      </c>
      <c r="K47" s="21" t="e">
        <f t="shared" si="2"/>
        <v>#N/A</v>
      </c>
      <c r="L47" s="21" t="e">
        <f t="shared" si="2"/>
        <v>#N/A</v>
      </c>
      <c r="M47" s="21">
        <f t="shared" si="2"/>
        <v>0</v>
      </c>
      <c r="N47" s="24" t="e">
        <f t="shared" si="3"/>
        <v>#N/A</v>
      </c>
    </row>
    <row r="48" spans="2:14" x14ac:dyDescent="0.25">
      <c r="B48" s="14" t="s">
        <v>21</v>
      </c>
      <c r="C48" s="21">
        <f t="shared" si="2"/>
        <v>0</v>
      </c>
      <c r="D48" s="21">
        <f t="shared" si="2"/>
        <v>0</v>
      </c>
      <c r="E48" s="21">
        <f t="shared" si="2"/>
        <v>0</v>
      </c>
      <c r="F48" s="21">
        <f t="shared" si="2"/>
        <v>0</v>
      </c>
      <c r="G48" s="21">
        <f t="shared" si="2"/>
        <v>0</v>
      </c>
      <c r="H48" s="21">
        <f t="shared" si="2"/>
        <v>0</v>
      </c>
      <c r="I48" s="21">
        <f t="shared" si="2"/>
        <v>0</v>
      </c>
      <c r="J48" s="21">
        <f t="shared" si="2"/>
        <v>0</v>
      </c>
      <c r="K48" s="21" t="e">
        <f t="shared" si="2"/>
        <v>#N/A</v>
      </c>
      <c r="L48" s="21" t="e">
        <f t="shared" si="2"/>
        <v>#N/A</v>
      </c>
      <c r="M48" s="21">
        <f t="shared" si="2"/>
        <v>0</v>
      </c>
      <c r="N48" s="24" t="e">
        <f t="shared" si="3"/>
        <v>#N/A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0.13600000000000001</v>
      </c>
      <c r="L49" s="21" t="e">
        <f t="shared" si="2"/>
        <v>#N/A</v>
      </c>
      <c r="M49" s="21">
        <f t="shared" si="2"/>
        <v>0.252</v>
      </c>
      <c r="N49" s="24" t="e">
        <f t="shared" si="3"/>
        <v>#N/A</v>
      </c>
    </row>
    <row r="50" spans="2:14" x14ac:dyDescent="0.25">
      <c r="B50" s="14" t="s">
        <v>23</v>
      </c>
      <c r="C50" s="21">
        <f t="shared" si="2"/>
        <v>0</v>
      </c>
      <c r="D50" s="21">
        <f t="shared" si="2"/>
        <v>0</v>
      </c>
      <c r="E50" s="21">
        <f t="shared" si="2"/>
        <v>0</v>
      </c>
      <c r="F50" s="21">
        <f t="shared" si="2"/>
        <v>0</v>
      </c>
      <c r="G50" s="21">
        <f t="shared" si="2"/>
        <v>0</v>
      </c>
      <c r="H50" s="21">
        <f t="shared" si="2"/>
        <v>0</v>
      </c>
      <c r="I50" s="21" t="s">
        <v>24</v>
      </c>
      <c r="J50" s="21">
        <f t="shared" si="2"/>
        <v>0</v>
      </c>
      <c r="K50" s="21" t="e">
        <f t="shared" si="2"/>
        <v>#N/A</v>
      </c>
      <c r="L50" s="21" t="e">
        <f t="shared" si="2"/>
        <v>#N/A</v>
      </c>
      <c r="M50" s="21">
        <f t="shared" si="2"/>
        <v>0</v>
      </c>
      <c r="N50" s="24" t="e">
        <f t="shared" si="3"/>
        <v>#N/A</v>
      </c>
    </row>
    <row r="51" spans="2:14" x14ac:dyDescent="0.25">
      <c r="B51" s="14" t="s">
        <v>25</v>
      </c>
      <c r="C51" s="21">
        <f t="shared" si="2"/>
        <v>0</v>
      </c>
      <c r="D51" s="21">
        <f t="shared" si="2"/>
        <v>0</v>
      </c>
      <c r="E51" s="21">
        <f t="shared" si="2"/>
        <v>0</v>
      </c>
      <c r="F51" s="21">
        <f t="shared" si="2"/>
        <v>0</v>
      </c>
      <c r="G51" s="21">
        <f t="shared" si="2"/>
        <v>0</v>
      </c>
      <c r="H51" s="21">
        <f t="shared" si="2"/>
        <v>0</v>
      </c>
      <c r="I51" s="21" t="s">
        <v>24</v>
      </c>
      <c r="J51" s="21">
        <f t="shared" si="2"/>
        <v>0</v>
      </c>
      <c r="K51" s="21" t="e">
        <f t="shared" si="2"/>
        <v>#N/A</v>
      </c>
      <c r="L51" s="21" t="e">
        <f t="shared" si="2"/>
        <v>#N/A</v>
      </c>
      <c r="M51" s="21">
        <f t="shared" si="2"/>
        <v>0</v>
      </c>
      <c r="N51" s="24" t="e">
        <f t="shared" si="3"/>
        <v>#N/A</v>
      </c>
    </row>
    <row r="52" spans="2:14" x14ac:dyDescent="0.25">
      <c r="B52" s="14" t="s">
        <v>26</v>
      </c>
      <c r="C52" s="21">
        <f t="shared" si="2"/>
        <v>0</v>
      </c>
      <c r="D52" s="21">
        <f t="shared" si="2"/>
        <v>0</v>
      </c>
      <c r="E52" s="21">
        <f t="shared" si="2"/>
        <v>0</v>
      </c>
      <c r="F52" s="21">
        <f t="shared" si="2"/>
        <v>0</v>
      </c>
      <c r="G52" s="21">
        <f t="shared" si="2"/>
        <v>0</v>
      </c>
      <c r="H52" s="21">
        <f t="shared" si="2"/>
        <v>0</v>
      </c>
      <c r="I52" s="21" t="s">
        <v>24</v>
      </c>
      <c r="J52" s="21">
        <f t="shared" si="2"/>
        <v>0</v>
      </c>
      <c r="K52" s="21" t="e">
        <f t="shared" si="2"/>
        <v>#N/A</v>
      </c>
      <c r="L52" s="21" t="e">
        <f t="shared" si="2"/>
        <v>#N/A</v>
      </c>
      <c r="M52" s="21">
        <f t="shared" si="2"/>
        <v>0</v>
      </c>
      <c r="N52" s="24" t="e">
        <f t="shared" si="3"/>
        <v>#N/A</v>
      </c>
    </row>
    <row r="53" spans="2:14" x14ac:dyDescent="0.25">
      <c r="B53" s="14" t="s">
        <v>27</v>
      </c>
      <c r="C53" s="21">
        <f t="shared" si="2"/>
        <v>0</v>
      </c>
      <c r="D53" s="21">
        <f t="shared" si="2"/>
        <v>0</v>
      </c>
      <c r="E53" s="21">
        <f t="shared" si="2"/>
        <v>0</v>
      </c>
      <c r="F53" s="21">
        <f t="shared" si="2"/>
        <v>0</v>
      </c>
      <c r="G53" s="21">
        <f t="shared" si="2"/>
        <v>0</v>
      </c>
      <c r="H53" s="21">
        <f t="shared" si="2"/>
        <v>0</v>
      </c>
      <c r="I53" s="21" t="s">
        <v>24</v>
      </c>
      <c r="J53" s="21">
        <f t="shared" si="2"/>
        <v>0</v>
      </c>
      <c r="K53" s="21" t="e">
        <f t="shared" si="2"/>
        <v>#N/A</v>
      </c>
      <c r="L53" s="21" t="e">
        <f t="shared" si="2"/>
        <v>#N/A</v>
      </c>
      <c r="M53" s="21">
        <f t="shared" si="2"/>
        <v>0</v>
      </c>
      <c r="N53" s="24" t="e">
        <f t="shared" si="3"/>
        <v>#N/A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</v>
      </c>
      <c r="F54" s="21">
        <f t="shared" si="2"/>
        <v>0</v>
      </c>
      <c r="G54" s="21">
        <f t="shared" si="2"/>
        <v>0</v>
      </c>
      <c r="H54" s="21">
        <f t="shared" si="2"/>
        <v>0</v>
      </c>
      <c r="I54" s="158" t="s">
        <v>24</v>
      </c>
      <c r="J54" s="21">
        <f t="shared" si="2"/>
        <v>0</v>
      </c>
      <c r="K54" s="21" t="e">
        <f t="shared" si="2"/>
        <v>#N/A</v>
      </c>
      <c r="L54" s="21" t="e">
        <f t="shared" si="2"/>
        <v>#N/A</v>
      </c>
      <c r="M54" s="21">
        <f t="shared" si="2"/>
        <v>0</v>
      </c>
      <c r="N54" s="24" t="e">
        <f t="shared" si="3"/>
        <v>#N/A</v>
      </c>
    </row>
  </sheetData>
  <conditionalFormatting sqref="N40:N54">
    <cfRule type="cellIs" dxfId="42" priority="1" operator="lessThan">
      <formula>0.9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E7493-E166-43D2-800C-F1D0E823F7A3}">
  <dimension ref="B1:BN92"/>
  <sheetViews>
    <sheetView topLeftCell="A74" zoomScale="98" workbookViewId="0">
      <selection activeCell="C92" sqref="C92"/>
    </sheetView>
  </sheetViews>
  <sheetFormatPr baseColWidth="10" defaultColWidth="8.7109375" defaultRowHeight="15" x14ac:dyDescent="0.25"/>
  <cols>
    <col min="1" max="1" width="4.28515625" style="11" customWidth="1"/>
    <col min="2" max="2" width="16.7109375" style="11" bestFit="1" customWidth="1"/>
    <col min="3" max="3" width="10.5703125" style="11" customWidth="1"/>
    <col min="4" max="4" width="11.7109375" style="11" bestFit="1" customWidth="1"/>
    <col min="5" max="5" width="10.5703125" style="11" customWidth="1"/>
    <col min="6" max="6" width="8.7109375" style="11"/>
    <col min="7" max="7" width="8.7109375" style="11" customWidth="1"/>
    <col min="8" max="8" width="9.28515625" style="11" customWidth="1"/>
    <col min="9" max="9" width="9.7109375" style="11" bestFit="1" customWidth="1"/>
    <col min="10" max="11" width="8.7109375" style="11"/>
    <col min="12" max="12" width="12.5703125" style="11" customWidth="1"/>
    <col min="13" max="18" width="8.7109375" style="11"/>
    <col min="19" max="19" width="10.7109375" style="11" customWidth="1"/>
    <col min="20" max="23" width="8.7109375" style="11"/>
    <col min="24" max="24" width="9.7109375" style="11" customWidth="1"/>
    <col min="25" max="30" width="8.7109375" style="11"/>
    <col min="31" max="31" width="13.5703125" style="11" bestFit="1" customWidth="1"/>
    <col min="32" max="32" width="13.7109375" style="11" bestFit="1" customWidth="1"/>
    <col min="33" max="34" width="13.7109375" style="11" customWidth="1"/>
    <col min="35" max="35" width="8.7109375" style="11"/>
    <col min="36" max="36" width="13.5703125" style="11" bestFit="1" customWidth="1"/>
    <col min="37" max="42" width="8.7109375" style="11"/>
    <col min="43" max="43" width="13.5703125" style="11" bestFit="1" customWidth="1"/>
    <col min="44" max="50" width="8.7109375" style="11"/>
    <col min="51" max="51" width="13.5703125" style="11" bestFit="1" customWidth="1"/>
    <col min="52" max="52" width="11.7109375" style="11" bestFit="1" customWidth="1"/>
    <col min="53" max="53" width="12.28515625" style="11" bestFit="1" customWidth="1"/>
    <col min="54" max="54" width="11.7109375" style="11" bestFit="1" customWidth="1"/>
    <col min="55" max="55" width="11.28515625" style="11" bestFit="1" customWidth="1"/>
    <col min="56" max="56" width="12.28515625" style="11" bestFit="1" customWidth="1"/>
    <col min="57" max="57" width="11.7109375" style="11" bestFit="1" customWidth="1"/>
    <col min="58" max="58" width="12" style="11" bestFit="1" customWidth="1"/>
    <col min="59" max="59" width="12.28515625" style="11" bestFit="1" customWidth="1"/>
    <col min="60" max="60" width="10.5703125" style="11" bestFit="1" customWidth="1"/>
    <col min="61" max="16384" width="8.7109375" style="11"/>
  </cols>
  <sheetData>
    <row r="1" spans="2:66" x14ac:dyDescent="0.25">
      <c r="L1" s="11" t="s">
        <v>197</v>
      </c>
      <c r="Q1" s="11" t="s">
        <v>198</v>
      </c>
      <c r="Z1" s="11" t="s">
        <v>199</v>
      </c>
    </row>
    <row r="2" spans="2:66" x14ac:dyDescent="0.25">
      <c r="B2" s="11">
        <v>1</v>
      </c>
      <c r="C2" s="11">
        <v>2</v>
      </c>
      <c r="D2" s="11">
        <v>3</v>
      </c>
      <c r="E2" s="11">
        <v>4</v>
      </c>
      <c r="F2" s="11">
        <v>5</v>
      </c>
      <c r="G2" s="11">
        <v>6</v>
      </c>
      <c r="H2" s="11">
        <v>7</v>
      </c>
      <c r="L2" s="11">
        <v>1</v>
      </c>
      <c r="M2" s="11">
        <v>2</v>
      </c>
      <c r="N2" s="11">
        <v>3</v>
      </c>
      <c r="O2" s="11">
        <v>4</v>
      </c>
      <c r="Q2" s="11">
        <v>1</v>
      </c>
      <c r="R2" s="11">
        <v>2</v>
      </c>
      <c r="S2" s="11">
        <v>3</v>
      </c>
      <c r="T2" s="11">
        <v>4</v>
      </c>
    </row>
    <row r="3" spans="2:66" x14ac:dyDescent="0.25">
      <c r="B3" s="20" t="s">
        <v>34</v>
      </c>
      <c r="C3" s="20" t="s">
        <v>143</v>
      </c>
      <c r="D3" s="20" t="s">
        <v>2</v>
      </c>
      <c r="E3" s="20" t="s">
        <v>145</v>
      </c>
      <c r="F3" s="20" t="s">
        <v>3</v>
      </c>
      <c r="G3" s="20" t="s">
        <v>200</v>
      </c>
      <c r="H3" s="20" t="s">
        <v>201</v>
      </c>
      <c r="L3" s="20" t="s">
        <v>34</v>
      </c>
      <c r="M3" s="20" t="s">
        <v>50</v>
      </c>
      <c r="N3" s="20" t="s">
        <v>51</v>
      </c>
      <c r="O3" s="20" t="s">
        <v>142</v>
      </c>
      <c r="Q3" s="20" t="s">
        <v>34</v>
      </c>
      <c r="R3" s="20" t="s">
        <v>50</v>
      </c>
      <c r="S3" s="20" t="s">
        <v>51</v>
      </c>
      <c r="T3" s="20" t="s">
        <v>142</v>
      </c>
      <c r="V3" s="279" t="s">
        <v>202</v>
      </c>
      <c r="W3" s="279" t="s">
        <v>203</v>
      </c>
      <c r="X3" s="27" t="s">
        <v>204</v>
      </c>
      <c r="Z3" s="20" t="s">
        <v>34</v>
      </c>
      <c r="AA3" s="20" t="s">
        <v>50</v>
      </c>
      <c r="AB3" s="20" t="s">
        <v>51</v>
      </c>
      <c r="AC3" s="20" t="s">
        <v>142</v>
      </c>
    </row>
    <row r="4" spans="2:66" x14ac:dyDescent="0.25">
      <c r="B4" s="23" t="s">
        <v>13</v>
      </c>
      <c r="C4" s="21">
        <f>VLOOKUP(B4,'OR SEP'!$B$2:$H$16,'OR SEP'!$C$1,FALSE)</f>
        <v>0.78</v>
      </c>
      <c r="D4" s="17">
        <v>0.79100000000000004</v>
      </c>
      <c r="E4" s="21">
        <f>VLOOKUP(B4,'OR SEP'!$B$2:$H$16,'OR SEP'!$F$1,FALSE)</f>
        <v>0.92</v>
      </c>
      <c r="F4" s="21">
        <v>0.95799999999999996</v>
      </c>
      <c r="G4" s="138">
        <f>D4/C4</f>
        <v>1.0141025641025641</v>
      </c>
      <c r="H4" s="138">
        <f>F4/E4</f>
        <v>1.0413043478260868</v>
      </c>
      <c r="L4" s="184" t="s">
        <v>13</v>
      </c>
      <c r="M4" s="27">
        <f>VLOOKUP(L4,$AJ$5:$AL$40,$AL$4,FALSE)</f>
        <v>1.1183820584701643</v>
      </c>
      <c r="N4" s="27">
        <f>VLOOKUP(L4,$AJ$5:$AO$40,$AO$4,FALSE)</f>
        <v>0.93079802089532648</v>
      </c>
      <c r="O4" s="27">
        <f>VLOOKUP(L4,$B$43:$D478,$D$42,FALSE)</f>
        <v>0.27845804084237397</v>
      </c>
      <c r="Q4" s="184" t="s">
        <v>13</v>
      </c>
      <c r="R4" s="27">
        <f>VLOOKUP(Q4,$AQ$5:$AV$40,$AU$4,FALSE)</f>
        <v>1.1183820584701643</v>
      </c>
      <c r="S4" s="27">
        <f>VLOOKUP(Q4,$AQ$5:$AV$40,$AV$4,FALSE)</f>
        <v>0.94631125347061307</v>
      </c>
      <c r="T4" s="27">
        <f>VLOOKUP(Q4,$B$43:$D478,$D$42,FALSE)</f>
        <v>0.27845804084237397</v>
      </c>
      <c r="V4" s="280" t="s">
        <v>13</v>
      </c>
      <c r="W4" s="281">
        <v>9216</v>
      </c>
      <c r="X4" s="27">
        <v>5.8106983430430505E-2</v>
      </c>
      <c r="Z4" s="184" t="s">
        <v>13</v>
      </c>
      <c r="AA4" s="27">
        <f>W4/BM6</f>
        <v>1.0634664204938842</v>
      </c>
      <c r="AB4" s="27">
        <f>X4/BN6</f>
        <v>0.91654278549185397</v>
      </c>
      <c r="AC4" s="27">
        <f>VLOOKUP(Z4,$B$43:$D478,$D$42,FALSE)</f>
        <v>0.27845804084237397</v>
      </c>
      <c r="AE4" s="11">
        <v>1</v>
      </c>
      <c r="AF4" s="11">
        <v>2</v>
      </c>
      <c r="AG4" s="11">
        <v>3</v>
      </c>
      <c r="AH4" s="11">
        <v>4</v>
      </c>
      <c r="AJ4" s="11">
        <v>1</v>
      </c>
      <c r="AK4" s="11">
        <v>2</v>
      </c>
      <c r="AL4" s="11">
        <v>3</v>
      </c>
      <c r="AM4" s="11">
        <v>4</v>
      </c>
      <c r="AN4" s="11">
        <v>5</v>
      </c>
      <c r="AO4" s="11">
        <v>6</v>
      </c>
      <c r="AQ4" s="11">
        <v>1</v>
      </c>
      <c r="AR4" s="11">
        <v>2</v>
      </c>
      <c r="AS4" s="11">
        <v>3</v>
      </c>
      <c r="AT4" s="11">
        <v>4</v>
      </c>
      <c r="AU4" s="11">
        <v>5</v>
      </c>
      <c r="AV4" s="11">
        <v>6</v>
      </c>
      <c r="AY4" s="11">
        <v>1</v>
      </c>
      <c r="AZ4" s="11">
        <v>2</v>
      </c>
      <c r="BA4" s="11">
        <v>3</v>
      </c>
      <c r="BB4" s="11">
        <v>4</v>
      </c>
      <c r="BC4" s="11">
        <v>5</v>
      </c>
      <c r="BD4" s="11">
        <v>6</v>
      </c>
      <c r="BE4" s="11">
        <v>7</v>
      </c>
      <c r="BF4" s="11">
        <v>8</v>
      </c>
      <c r="BG4" s="11">
        <v>9</v>
      </c>
      <c r="BH4" s="11">
        <v>10</v>
      </c>
      <c r="BI4" s="11">
        <v>11</v>
      </c>
      <c r="BJ4" s="11">
        <v>12</v>
      </c>
    </row>
    <row r="5" spans="2:66" x14ac:dyDescent="0.25">
      <c r="B5" s="23" t="s">
        <v>15</v>
      </c>
      <c r="C5" s="21">
        <f>VLOOKUP(B5,'OR SEP'!$B$2:$H$16,'OR SEP'!$C$1,FALSE)</f>
        <v>0.92</v>
      </c>
      <c r="D5" s="17">
        <v>0.95099999999999996</v>
      </c>
      <c r="E5" s="21">
        <f>VLOOKUP(B5,'OR SEP'!$B$2:$H$16,'OR SEP'!$F$1,FALSE)</f>
        <v>0.92</v>
      </c>
      <c r="F5" s="21">
        <v>0.93700000000000006</v>
      </c>
      <c r="G5" s="138">
        <f t="shared" ref="G5:G19" si="0">D5/C5</f>
        <v>1.0336956521739129</v>
      </c>
      <c r="H5" s="138">
        <f t="shared" ref="H5:H19" si="1">F5/E5</f>
        <v>1.0184782608695653</v>
      </c>
      <c r="L5" s="184" t="s">
        <v>15</v>
      </c>
      <c r="M5" s="27">
        <f t="shared" ref="M5:M18" si="2">VLOOKUP(L5,$AJ$5:$AL$40,$AL$4,FALSE)</f>
        <v>0.93012975901896477</v>
      </c>
      <c r="N5" s="27">
        <f t="shared" ref="N5:N18" si="3">VLOOKUP(L5,$AJ$5:$AO$40,$AO$4,FALSE)</f>
        <v>1.0676543122763449</v>
      </c>
      <c r="O5" s="27">
        <f>VLOOKUP(L5,$B$43:$D479,$D$42,FALSE)</f>
        <v>0.1300853541799617</v>
      </c>
      <c r="Q5" s="184" t="s">
        <v>15</v>
      </c>
      <c r="R5" s="27">
        <f t="shared" ref="R5:R18" si="4">VLOOKUP(Q5,$AQ$5:$AV$40,$AU$4,FALSE)</f>
        <v>0.92613717382004845</v>
      </c>
      <c r="S5" s="27">
        <f t="shared" ref="S5:S18" si="5">VLOOKUP(Q5,$AQ$5:$AV$40,$AV$4,FALSE)</f>
        <v>1.0859515506704791</v>
      </c>
      <c r="T5" s="27">
        <f>VLOOKUP(Q5,$B$43:$D479,$D$42,FALSE)</f>
        <v>0.1300853541799617</v>
      </c>
      <c r="V5" s="280" t="s">
        <v>15</v>
      </c>
      <c r="W5" s="281">
        <v>4588</v>
      </c>
      <c r="X5" s="27">
        <v>0.10409529211571185</v>
      </c>
      <c r="Z5" s="184" t="s">
        <v>15</v>
      </c>
      <c r="AA5" s="27">
        <f t="shared" ref="AA5:AA18" si="6">W5/BM7</f>
        <v>1.074221493795364</v>
      </c>
      <c r="AB5" s="27">
        <f t="shared" ref="AB5:AB18" si="7">X5/BN7</f>
        <v>1.0199437566046148</v>
      </c>
      <c r="AC5" s="27">
        <f>VLOOKUP(Z5,$B$43:$D479,$D$42,FALSE)</f>
        <v>0.1300853541799617</v>
      </c>
      <c r="AE5" s="268" t="s">
        <v>155</v>
      </c>
      <c r="AF5" s="269" t="s">
        <v>32</v>
      </c>
      <c r="AG5" s="268" t="s">
        <v>205</v>
      </c>
      <c r="AH5" s="277" t="s">
        <v>51</v>
      </c>
      <c r="AJ5" s="270" t="s">
        <v>155</v>
      </c>
      <c r="AK5" s="271" t="s">
        <v>206</v>
      </c>
      <c r="AL5" s="271" t="s">
        <v>50</v>
      </c>
      <c r="AM5" s="270" t="s">
        <v>205</v>
      </c>
      <c r="AN5" s="274" t="s">
        <v>51</v>
      </c>
      <c r="AO5" s="11" t="s">
        <v>207</v>
      </c>
      <c r="AQ5" s="272" t="s">
        <v>155</v>
      </c>
      <c r="AR5" s="273" t="s">
        <v>208</v>
      </c>
      <c r="AS5" s="273" t="s">
        <v>205</v>
      </c>
      <c r="AT5" s="273" t="s">
        <v>51</v>
      </c>
      <c r="AU5" s="11" t="s">
        <v>50</v>
      </c>
      <c r="AV5" s="11" t="s">
        <v>51</v>
      </c>
      <c r="AY5" s="272" t="s">
        <v>155</v>
      </c>
      <c r="AZ5" s="272" t="s">
        <v>209</v>
      </c>
      <c r="BA5" s="272" t="s">
        <v>210</v>
      </c>
      <c r="BB5" s="272" t="s">
        <v>211</v>
      </c>
      <c r="BC5" s="272" t="s">
        <v>212</v>
      </c>
      <c r="BD5" s="272" t="s">
        <v>213</v>
      </c>
      <c r="BE5" s="272" t="s">
        <v>214</v>
      </c>
      <c r="BF5" s="272" t="s">
        <v>215</v>
      </c>
      <c r="BG5" s="272" t="s">
        <v>216</v>
      </c>
      <c r="BH5" s="272" t="s">
        <v>217</v>
      </c>
      <c r="BI5" s="272" t="s">
        <v>205</v>
      </c>
      <c r="BJ5" s="272" t="s">
        <v>51</v>
      </c>
      <c r="BL5" s="20" t="s">
        <v>34</v>
      </c>
      <c r="BM5" s="20" t="s">
        <v>50</v>
      </c>
      <c r="BN5" s="20" t="s">
        <v>51</v>
      </c>
    </row>
    <row r="6" spans="2:66" x14ac:dyDescent="0.25">
      <c r="B6" s="23" t="s">
        <v>16</v>
      </c>
      <c r="C6" s="21">
        <f>VLOOKUP(B6,'OR SEP'!$B$2:$H$16,'OR SEP'!$C$1,FALSE)</f>
        <v>0.85</v>
      </c>
      <c r="D6" s="17">
        <v>0.875</v>
      </c>
      <c r="E6" s="21">
        <f>VLOOKUP(B6,'OR SEP'!$B$2:$H$16,'OR SEP'!$F$1,FALSE)</f>
        <v>0.94</v>
      </c>
      <c r="F6" s="21">
        <v>0.95699999999999996</v>
      </c>
      <c r="G6" s="138">
        <f t="shared" si="0"/>
        <v>1.0294117647058825</v>
      </c>
      <c r="H6" s="138">
        <f t="shared" si="1"/>
        <v>1.0180851063829788</v>
      </c>
      <c r="L6" s="184" t="s">
        <v>14</v>
      </c>
      <c r="M6" s="27">
        <f t="shared" si="2"/>
        <v>0.68227248816412411</v>
      </c>
      <c r="N6" s="27">
        <f t="shared" si="3"/>
        <v>0.86274135684787223</v>
      </c>
      <c r="O6" s="27">
        <f>VLOOKUP(L6,$B$43:$D480,$D$42,FALSE)</f>
        <v>0.12932753669432034</v>
      </c>
      <c r="Q6" s="184" t="s">
        <v>14</v>
      </c>
      <c r="R6" s="27">
        <f t="shared" si="4"/>
        <v>0.68227248816412411</v>
      </c>
      <c r="S6" s="27">
        <f t="shared" si="5"/>
        <v>0.87593802970624501</v>
      </c>
      <c r="T6" s="27">
        <f>VLOOKUP(Q6,$B$43:$D480,$D$42,FALSE)</f>
        <v>0.12932753669432034</v>
      </c>
      <c r="V6" s="280" t="s">
        <v>14</v>
      </c>
      <c r="W6" s="281">
        <v>4389</v>
      </c>
      <c r="X6" s="27">
        <v>6.3181078785610439E-2</v>
      </c>
      <c r="Z6" s="184" t="s">
        <v>14</v>
      </c>
      <c r="AA6" s="27">
        <f t="shared" si="6"/>
        <v>0.92869234024545066</v>
      </c>
      <c r="AB6" s="27">
        <f t="shared" si="7"/>
        <v>0.88171428039512589</v>
      </c>
      <c r="AC6" s="27">
        <f>VLOOKUP(Z6,$B$43:$D480,$D$42,FALSE)</f>
        <v>0.12932753669432034</v>
      </c>
      <c r="AE6" s="186" t="s">
        <v>95</v>
      </c>
      <c r="AF6" s="186">
        <v>5</v>
      </c>
      <c r="AG6" s="186">
        <v>50</v>
      </c>
      <c r="AH6" s="123">
        <f>AF6/AG6</f>
        <v>0.1</v>
      </c>
      <c r="AJ6" s="186" t="s">
        <v>95</v>
      </c>
      <c r="AK6" s="186">
        <v>1</v>
      </c>
      <c r="AL6" s="256">
        <f>AK6/AF6</f>
        <v>0.2</v>
      </c>
      <c r="AM6" s="186">
        <v>50</v>
      </c>
      <c r="AN6" s="256">
        <f>AK6/AM6</f>
        <v>0.02</v>
      </c>
      <c r="AO6" s="278">
        <f>AN6/AH6</f>
        <v>0.19999999999999998</v>
      </c>
      <c r="AQ6" s="186" t="s">
        <v>95</v>
      </c>
      <c r="AR6" s="186">
        <v>1</v>
      </c>
      <c r="AS6" s="186">
        <v>50</v>
      </c>
      <c r="AT6" s="199">
        <f>AR6/AS6</f>
        <v>0.02</v>
      </c>
      <c r="AU6" s="256">
        <f>AR6/AF6</f>
        <v>0.2</v>
      </c>
      <c r="AV6" s="63">
        <f>AT6/AH6</f>
        <v>0.19999999999999998</v>
      </c>
      <c r="AY6" s="186" t="s">
        <v>95</v>
      </c>
      <c r="AZ6" s="186">
        <v>0</v>
      </c>
      <c r="BA6" s="186">
        <v>0</v>
      </c>
      <c r="BB6" s="186">
        <v>0</v>
      </c>
      <c r="BC6" s="186">
        <v>0</v>
      </c>
      <c r="BD6" s="186">
        <v>0</v>
      </c>
      <c r="BE6" s="186">
        <v>1</v>
      </c>
      <c r="BF6" s="186">
        <v>0</v>
      </c>
      <c r="BG6" s="186">
        <v>0</v>
      </c>
      <c r="BH6" s="129">
        <f>SUM(AZ6:BG6)</f>
        <v>1</v>
      </c>
      <c r="BI6" s="11">
        <v>32</v>
      </c>
      <c r="BJ6" s="256">
        <f>BH6/BI6</f>
        <v>3.125E-2</v>
      </c>
      <c r="BL6" s="184" t="s">
        <v>13</v>
      </c>
      <c r="BM6" s="132">
        <f>VLOOKUP(BL6,$AY$5:$BJ$40,$BH$4,FALSE)</f>
        <v>8666</v>
      </c>
      <c r="BN6" s="27">
        <f>VLOOKUP(BL6,$AY$5:$BJ$40,$BJ$4,FALSE)</f>
        <v>6.339800427237878E-2</v>
      </c>
    </row>
    <row r="7" spans="2:66" x14ac:dyDescent="0.25">
      <c r="B7" s="23" t="s">
        <v>17</v>
      </c>
      <c r="C7" s="21">
        <f>VLOOKUP(B7,'OR SEP'!$B$2:$H$16,'OR SEP'!$C$1,FALSE)</f>
        <v>0.86</v>
      </c>
      <c r="D7" s="17">
        <v>0.88700000000000001</v>
      </c>
      <c r="E7" s="21">
        <f>VLOOKUP(B7,'OR SEP'!$B$2:$H$16,'OR SEP'!$F$1,FALSE)</f>
        <v>0.9</v>
      </c>
      <c r="F7" s="21">
        <v>0.97</v>
      </c>
      <c r="G7" s="138">
        <f t="shared" si="0"/>
        <v>1.0313953488372094</v>
      </c>
      <c r="H7" s="138">
        <f t="shared" si="1"/>
        <v>1.0777777777777777</v>
      </c>
      <c r="L7" s="184" t="s">
        <v>20</v>
      </c>
      <c r="M7" s="27">
        <f t="shared" si="2"/>
        <v>1.01407899882675</v>
      </c>
      <c r="N7" s="27">
        <f t="shared" si="3"/>
        <v>1.1343221968634212</v>
      </c>
      <c r="O7" s="27">
        <f>VLOOKUP(L7,$B$43:$D481,$D$42,FALSE)</f>
        <v>5.1711072112316528E-2</v>
      </c>
      <c r="Q7" s="184" t="s">
        <v>20</v>
      </c>
      <c r="R7" s="27">
        <f t="shared" si="4"/>
        <v>0.96949550254204142</v>
      </c>
      <c r="S7" s="27">
        <f t="shared" si="5"/>
        <v>1.1025538972594959</v>
      </c>
      <c r="T7" s="27">
        <f>VLOOKUP(Q7,$B$43:$D481,$D$42,FALSE)</f>
        <v>5.1711072112316528E-2</v>
      </c>
      <c r="V7" s="280" t="s">
        <v>20</v>
      </c>
      <c r="W7" s="281">
        <v>1669</v>
      </c>
      <c r="X7" s="27">
        <v>0.1312622886354699</v>
      </c>
      <c r="Z7" s="184" t="s">
        <v>20</v>
      </c>
      <c r="AA7" s="27">
        <f t="shared" si="6"/>
        <v>1.0887149380300065</v>
      </c>
      <c r="AB7" s="27">
        <f t="shared" si="7"/>
        <v>0.95762389830338901</v>
      </c>
      <c r="AC7" s="27">
        <f>VLOOKUP(Z7,$B$43:$D481,$D$42,FALSE)</f>
        <v>5.1711072112316528E-2</v>
      </c>
      <c r="AE7" s="186" t="s">
        <v>81</v>
      </c>
      <c r="AF7" s="186">
        <v>199</v>
      </c>
      <c r="AG7" s="186">
        <v>3718</v>
      </c>
      <c r="AH7" s="123">
        <f t="shared" ref="AH7:AH40" si="8">AF7/AG7</f>
        <v>5.3523399677245828E-2</v>
      </c>
      <c r="AJ7" s="186" t="s">
        <v>81</v>
      </c>
      <c r="AK7" s="186">
        <v>269</v>
      </c>
      <c r="AL7" s="256">
        <f t="shared" ref="AL7:AL40" si="9">AK7/AF7</f>
        <v>1.3517587939698492</v>
      </c>
      <c r="AM7" s="186">
        <v>3986</v>
      </c>
      <c r="AN7" s="256">
        <f t="shared" ref="AN7:AN40" si="10">AK7/AM7</f>
        <v>6.7486201705970902E-2</v>
      </c>
      <c r="AO7" s="278">
        <f t="shared" ref="AO7:AO40" si="11">AN7/AH7</f>
        <v>1.2608728539839187</v>
      </c>
      <c r="AQ7" s="186" t="s">
        <v>81</v>
      </c>
      <c r="AR7" s="186">
        <v>260</v>
      </c>
      <c r="AS7" s="186">
        <v>3693</v>
      </c>
      <c r="AT7" s="199">
        <f t="shared" ref="AT7:AT40" si="12">AR7/AS7</f>
        <v>7.0403466016788513E-2</v>
      </c>
      <c r="AU7" s="256">
        <f t="shared" ref="AU7:AU40" si="13">AR7/AF7</f>
        <v>1.306532663316583</v>
      </c>
      <c r="AV7" s="63">
        <f t="shared" ref="AV7:AV40" si="14">AT7/AH7</f>
        <v>1.3153773198513552</v>
      </c>
      <c r="AY7" s="186" t="s">
        <v>81</v>
      </c>
      <c r="AZ7" s="186">
        <v>22</v>
      </c>
      <c r="BA7" s="186">
        <v>17</v>
      </c>
      <c r="BB7" s="186">
        <v>12</v>
      </c>
      <c r="BC7" s="186">
        <v>12</v>
      </c>
      <c r="BD7" s="186">
        <v>17</v>
      </c>
      <c r="BE7" s="186">
        <v>17</v>
      </c>
      <c r="BF7" s="186">
        <v>21</v>
      </c>
      <c r="BG7" s="186">
        <v>22</v>
      </c>
      <c r="BH7" s="129">
        <f t="shared" ref="BH7:BH37" si="15">SUM(AZ7:BG7)</f>
        <v>140</v>
      </c>
      <c r="BI7" s="11">
        <v>1723</v>
      </c>
      <c r="BJ7" s="256">
        <f t="shared" ref="BJ7:BJ40" si="16">BH7/BI7</f>
        <v>8.1253627394080097E-2</v>
      </c>
      <c r="BL7" s="184" t="s">
        <v>15</v>
      </c>
      <c r="BM7" s="132">
        <f t="shared" ref="BM7:BM20" si="17">VLOOKUP(BL7,$AY$5:$BJ$40,$BH$4,FALSE)</f>
        <v>4271</v>
      </c>
      <c r="BN7" s="27">
        <f t="shared" ref="BN7:BN20" si="18">VLOOKUP(BL7,$AY$5:$BJ$40,$BJ$4,FALSE)</f>
        <v>0.10205983559548844</v>
      </c>
    </row>
    <row r="8" spans="2:66" x14ac:dyDescent="0.25">
      <c r="B8" s="23" t="s">
        <v>14</v>
      </c>
      <c r="C8" s="21">
        <f>VLOOKUP(B8,'OR SEP'!$B$2:$H$16,'OR SEP'!$C$1,FALSE)</f>
        <v>0.82</v>
      </c>
      <c r="D8" s="17">
        <v>0.85299999999999998</v>
      </c>
      <c r="E8" s="21">
        <f>VLOOKUP(B8,'OR SEP'!$B$2:$H$16,'OR SEP'!$F$1,FALSE)</f>
        <v>0.91</v>
      </c>
      <c r="F8" s="21">
        <v>0.92100000000000004</v>
      </c>
      <c r="G8" s="138">
        <f t="shared" si="0"/>
        <v>1.0402439024390244</v>
      </c>
      <c r="H8" s="138">
        <f t="shared" si="1"/>
        <v>1.012087912087912</v>
      </c>
      <c r="L8" s="184" t="s">
        <v>17</v>
      </c>
      <c r="M8" s="27">
        <f t="shared" si="2"/>
        <v>0.96844349680170572</v>
      </c>
      <c r="N8" s="27">
        <f t="shared" si="3"/>
        <v>0.93557612194917072</v>
      </c>
      <c r="O8" s="27">
        <f>VLOOKUP(L8,$B$43:$D482,$D$42,FALSE)</f>
        <v>4.5289566049776644E-2</v>
      </c>
      <c r="Q8" s="184" t="s">
        <v>17</v>
      </c>
      <c r="R8" s="27">
        <f t="shared" si="4"/>
        <v>0.97782515991471219</v>
      </c>
      <c r="S8" s="27">
        <f t="shared" si="5"/>
        <v>0.98165903853942549</v>
      </c>
      <c r="T8" s="27">
        <f>VLOOKUP(Q8,$B$43:$D482,$D$42,FALSE)</f>
        <v>4.5289566049776644E-2</v>
      </c>
      <c r="V8" s="280" t="s">
        <v>17</v>
      </c>
      <c r="W8" s="281">
        <v>1361</v>
      </c>
      <c r="X8" s="27">
        <v>3.4766393337931384E-2</v>
      </c>
      <c r="Z8" s="184" t="s">
        <v>17</v>
      </c>
      <c r="AA8" s="27">
        <f t="shared" si="6"/>
        <v>0.79637214745465179</v>
      </c>
      <c r="AB8" s="27">
        <f t="shared" si="7"/>
        <v>0.66206686435516493</v>
      </c>
      <c r="AC8" s="27">
        <f>VLOOKUP(Z8,$B$43:$D482,$D$42,FALSE)</f>
        <v>4.5289566049776644E-2</v>
      </c>
      <c r="AE8" s="186" t="s">
        <v>66</v>
      </c>
      <c r="AF8" s="186">
        <v>145</v>
      </c>
      <c r="AG8" s="186">
        <v>1347</v>
      </c>
      <c r="AH8" s="123">
        <f t="shared" si="8"/>
        <v>0.10764662212323682</v>
      </c>
      <c r="AJ8" s="186" t="s">
        <v>66</v>
      </c>
      <c r="AK8" s="186">
        <v>131</v>
      </c>
      <c r="AL8" s="256">
        <f t="shared" si="9"/>
        <v>0.90344827586206899</v>
      </c>
      <c r="AM8" s="186">
        <v>1141</v>
      </c>
      <c r="AN8" s="256">
        <f t="shared" si="10"/>
        <v>0.11481156879929887</v>
      </c>
      <c r="AO8" s="278">
        <f t="shared" si="11"/>
        <v>1.0665598839493489</v>
      </c>
      <c r="AQ8" s="186" t="s">
        <v>66</v>
      </c>
      <c r="AR8" s="186">
        <v>131</v>
      </c>
      <c r="AS8" s="186">
        <v>1090</v>
      </c>
      <c r="AT8" s="199">
        <f t="shared" si="12"/>
        <v>0.12018348623853212</v>
      </c>
      <c r="AU8" s="256">
        <f t="shared" si="13"/>
        <v>0.90344827586206899</v>
      </c>
      <c r="AV8" s="63">
        <f t="shared" si="14"/>
        <v>1.1164631445745019</v>
      </c>
      <c r="AY8" s="186" t="s">
        <v>66</v>
      </c>
      <c r="AZ8" s="186">
        <v>8</v>
      </c>
      <c r="BA8" s="186">
        <v>4</v>
      </c>
      <c r="BB8" s="186">
        <v>9</v>
      </c>
      <c r="BC8" s="186">
        <v>7</v>
      </c>
      <c r="BD8" s="186">
        <v>8</v>
      </c>
      <c r="BE8" s="186">
        <v>9</v>
      </c>
      <c r="BF8" s="186">
        <v>11</v>
      </c>
      <c r="BG8" s="186">
        <v>8</v>
      </c>
      <c r="BH8" s="129">
        <f t="shared" si="15"/>
        <v>64</v>
      </c>
      <c r="BI8" s="11">
        <v>424</v>
      </c>
      <c r="BJ8" s="256">
        <f t="shared" si="16"/>
        <v>0.15094339622641509</v>
      </c>
      <c r="BL8" s="184" t="s">
        <v>14</v>
      </c>
      <c r="BM8" s="132">
        <f t="shared" si="17"/>
        <v>4726</v>
      </c>
      <c r="BN8" s="27">
        <f t="shared" si="18"/>
        <v>7.1657089139235519E-2</v>
      </c>
    </row>
    <row r="9" spans="2:66" x14ac:dyDescent="0.25">
      <c r="B9" s="23" t="s">
        <v>18</v>
      </c>
      <c r="C9" s="21">
        <f>VLOOKUP(B9,'OR SEP'!$B$2:$H$16,'OR SEP'!$C$1,FALSE)</f>
        <v>0.94</v>
      </c>
      <c r="D9" s="17">
        <v>0.99299999999999999</v>
      </c>
      <c r="E9" s="21">
        <f>VLOOKUP(B9,'OR SEP'!$B$2:$H$16,'OR SEP'!$F$1,FALSE)</f>
        <v>0.95</v>
      </c>
      <c r="F9" s="21">
        <v>0.99</v>
      </c>
      <c r="G9" s="138">
        <f t="shared" si="0"/>
        <v>1.0563829787234043</v>
      </c>
      <c r="H9" s="138">
        <f t="shared" si="1"/>
        <v>1.0421052631578949</v>
      </c>
      <c r="L9" s="184" t="s">
        <v>23</v>
      </c>
      <c r="M9" s="27">
        <f t="shared" si="2"/>
        <v>1.2029278142352346</v>
      </c>
      <c r="N9" s="27">
        <f t="shared" si="3"/>
        <v>1.2301090371239967</v>
      </c>
      <c r="O9" s="27">
        <f>VLOOKUP(L9,$B$43:$D483,$D$42,FALSE)</f>
        <v>4.752313337587747E-2</v>
      </c>
      <c r="Q9" s="184" t="s">
        <v>23</v>
      </c>
      <c r="R9" s="27">
        <f t="shared" si="4"/>
        <v>1.2029278142352346</v>
      </c>
      <c r="S9" s="27">
        <f t="shared" si="5"/>
        <v>1.25322618887249</v>
      </c>
      <c r="T9" s="27">
        <f>VLOOKUP(Q9,$B$43:$D483,$D$42,FALSE)</f>
        <v>4.752313337587747E-2</v>
      </c>
      <c r="V9" s="280" t="s">
        <v>23</v>
      </c>
      <c r="W9" s="281">
        <v>1352</v>
      </c>
      <c r="X9" s="27">
        <v>4.6355345265034632E-2</v>
      </c>
      <c r="Z9" s="184" t="s">
        <v>23</v>
      </c>
      <c r="AA9" s="27">
        <f t="shared" si="6"/>
        <v>0.89299867899603702</v>
      </c>
      <c r="AB9" s="27">
        <f t="shared" si="7"/>
        <v>0.79333774845595262</v>
      </c>
      <c r="AC9" s="27">
        <f>VLOOKUP(Z9,$B$43:$D483,$D$42,FALSE)</f>
        <v>4.752313337587747E-2</v>
      </c>
      <c r="AE9" s="186" t="s">
        <v>68</v>
      </c>
      <c r="AF9" s="186">
        <v>215</v>
      </c>
      <c r="AG9" s="186">
        <v>2706</v>
      </c>
      <c r="AH9" s="123">
        <f t="shared" si="8"/>
        <v>7.9453067257945306E-2</v>
      </c>
      <c r="AJ9" s="186" t="s">
        <v>68</v>
      </c>
      <c r="AK9" s="186">
        <v>200</v>
      </c>
      <c r="AL9" s="256">
        <f t="shared" si="9"/>
        <v>0.93023255813953487</v>
      </c>
      <c r="AM9" s="186">
        <v>2845</v>
      </c>
      <c r="AN9" s="256">
        <f t="shared" si="10"/>
        <v>7.0298769771529004E-2</v>
      </c>
      <c r="AO9" s="278">
        <f t="shared" si="11"/>
        <v>0.88478358605468599</v>
      </c>
      <c r="AQ9" s="186" t="s">
        <v>68</v>
      </c>
      <c r="AR9" s="186">
        <v>200</v>
      </c>
      <c r="AS9" s="186">
        <v>2922</v>
      </c>
      <c r="AT9" s="199">
        <f t="shared" si="12"/>
        <v>6.8446269678302529E-2</v>
      </c>
      <c r="AU9" s="256">
        <f t="shared" si="13"/>
        <v>0.93023255813953487</v>
      </c>
      <c r="AV9" s="63">
        <f t="shared" si="14"/>
        <v>0.86146793371854258</v>
      </c>
      <c r="AY9" s="186" t="s">
        <v>68</v>
      </c>
      <c r="AZ9" s="186">
        <v>15</v>
      </c>
      <c r="BA9" s="186">
        <v>12</v>
      </c>
      <c r="BB9" s="186">
        <v>12</v>
      </c>
      <c r="BC9" s="186">
        <v>10</v>
      </c>
      <c r="BD9" s="186">
        <v>26</v>
      </c>
      <c r="BE9" s="186">
        <v>20</v>
      </c>
      <c r="BF9" s="186">
        <v>17</v>
      </c>
      <c r="BG9" s="186">
        <v>12</v>
      </c>
      <c r="BH9" s="129">
        <f t="shared" si="15"/>
        <v>124</v>
      </c>
      <c r="BI9" s="11">
        <v>1793</v>
      </c>
      <c r="BJ9" s="256">
        <f t="shared" si="16"/>
        <v>6.9157836029001676E-2</v>
      </c>
      <c r="BL9" s="184" t="s">
        <v>20</v>
      </c>
      <c r="BM9" s="132">
        <f t="shared" si="17"/>
        <v>1533</v>
      </c>
      <c r="BN9" s="27">
        <f t="shared" si="18"/>
        <v>0.13707081545064378</v>
      </c>
    </row>
    <row r="10" spans="2:66" x14ac:dyDescent="0.25">
      <c r="B10" s="23" t="s">
        <v>218</v>
      </c>
      <c r="C10" s="21" t="e">
        <f>VLOOKUP(B10,'OR SEP'!$B$2:$H$16,'OR SEP'!$C$1,FALSE)</f>
        <v>#N/A</v>
      </c>
      <c r="D10" s="17">
        <v>0.82799999999999996</v>
      </c>
      <c r="E10" s="21" t="e">
        <f>VLOOKUP(B10,'OR SEP'!$B$2:$H$16,'OR SEP'!$F$1,FALSE)</f>
        <v>#N/A</v>
      </c>
      <c r="F10" s="21">
        <v>0.94899999999999995</v>
      </c>
      <c r="G10" s="138" t="e">
        <f t="shared" si="0"/>
        <v>#N/A</v>
      </c>
      <c r="H10" s="138" t="e">
        <f t="shared" si="1"/>
        <v>#N/A</v>
      </c>
      <c r="L10" s="184" t="s">
        <v>19</v>
      </c>
      <c r="M10" s="27">
        <f t="shared" si="2"/>
        <v>0.98193832599118946</v>
      </c>
      <c r="N10" s="27">
        <f t="shared" si="3"/>
        <v>0.99734637076619781</v>
      </c>
      <c r="O10" s="27">
        <f>VLOOKUP(L10,$B$43:$D484,$D$42,FALSE)</f>
        <v>4.4451978302488829E-2</v>
      </c>
      <c r="Q10" s="184" t="s">
        <v>19</v>
      </c>
      <c r="R10" s="27">
        <f t="shared" si="4"/>
        <v>1.0061674008810573</v>
      </c>
      <c r="S10" s="27">
        <f t="shared" si="5"/>
        <v>1.0359485020666062</v>
      </c>
      <c r="T10" s="27">
        <f>VLOOKUP(Q10,$B$43:$D484,$D$42,FALSE)</f>
        <v>4.4451978302488829E-2</v>
      </c>
      <c r="V10" s="280" t="s">
        <v>19</v>
      </c>
      <c r="W10" s="281">
        <v>1318</v>
      </c>
      <c r="X10" s="27">
        <v>0.1090698444223767</v>
      </c>
      <c r="Z10" s="184" t="s">
        <v>19</v>
      </c>
      <c r="AA10" s="27">
        <f t="shared" si="6"/>
        <v>0.96556776556776558</v>
      </c>
      <c r="AB10" s="27">
        <f t="shared" si="7"/>
        <v>0.87879131791743514</v>
      </c>
      <c r="AC10" s="27">
        <f>VLOOKUP(Z10,$B$43:$D484,$D$42,FALSE)</f>
        <v>4.4451978302488829E-2</v>
      </c>
      <c r="AE10" s="186" t="s">
        <v>69</v>
      </c>
      <c r="AF10" s="186">
        <v>7</v>
      </c>
      <c r="AG10" s="186">
        <v>2079</v>
      </c>
      <c r="AH10" s="123">
        <f t="shared" si="8"/>
        <v>3.3670033670033669E-3</v>
      </c>
      <c r="AJ10" s="186" t="s">
        <v>69</v>
      </c>
      <c r="AK10" s="186">
        <v>16</v>
      </c>
      <c r="AL10" s="256">
        <f t="shared" si="9"/>
        <v>2.2857142857142856</v>
      </c>
      <c r="AM10" s="186">
        <v>1912</v>
      </c>
      <c r="AN10" s="256">
        <f t="shared" si="10"/>
        <v>8.368200836820083E-3</v>
      </c>
      <c r="AO10" s="278">
        <f t="shared" si="11"/>
        <v>2.4853556485355646</v>
      </c>
      <c r="AQ10" s="186" t="s">
        <v>69</v>
      </c>
      <c r="AR10" s="186">
        <v>16</v>
      </c>
      <c r="AS10" s="186">
        <v>1989</v>
      </c>
      <c r="AT10" s="199">
        <f t="shared" si="12"/>
        <v>8.0442433383609846E-3</v>
      </c>
      <c r="AU10" s="256">
        <f t="shared" si="13"/>
        <v>2.2857142857142856</v>
      </c>
      <c r="AV10" s="63">
        <f t="shared" si="14"/>
        <v>2.3891402714932126</v>
      </c>
      <c r="AY10" s="186" t="s">
        <v>69</v>
      </c>
      <c r="AZ10" s="186">
        <v>2</v>
      </c>
      <c r="BA10" s="186">
        <v>2</v>
      </c>
      <c r="BB10" s="186">
        <v>0</v>
      </c>
      <c r="BC10" s="186">
        <v>0</v>
      </c>
      <c r="BD10" s="186">
        <v>1</v>
      </c>
      <c r="BE10" s="186">
        <v>1</v>
      </c>
      <c r="BF10" s="186">
        <v>1</v>
      </c>
      <c r="BG10" s="186">
        <v>1</v>
      </c>
      <c r="BH10" s="129">
        <f t="shared" si="15"/>
        <v>8</v>
      </c>
      <c r="BI10" s="11">
        <v>1498</v>
      </c>
      <c r="BJ10" s="256">
        <f t="shared" si="16"/>
        <v>5.3404539385847796E-3</v>
      </c>
      <c r="BL10" s="184" t="s">
        <v>17</v>
      </c>
      <c r="BM10" s="132">
        <f t="shared" si="17"/>
        <v>1709</v>
      </c>
      <c r="BN10" s="27">
        <f t="shared" si="18"/>
        <v>5.2511906590874173E-2</v>
      </c>
    </row>
    <row r="11" spans="2:66" x14ac:dyDescent="0.25">
      <c r="B11" s="23" t="s">
        <v>26</v>
      </c>
      <c r="C11" s="21">
        <f>VLOOKUP(B11,'OR SEP'!$B$2:$H$16,'OR SEP'!$C$1,FALSE)</f>
        <v>0.85</v>
      </c>
      <c r="D11" s="17">
        <v>0.90100000000000002</v>
      </c>
      <c r="E11" s="21">
        <f>VLOOKUP(B11,'OR SEP'!$B$2:$H$16,'OR SEP'!$F$1,FALSE)</f>
        <v>0.87</v>
      </c>
      <c r="F11" s="21">
        <v>0.94</v>
      </c>
      <c r="G11" s="138">
        <f t="shared" si="0"/>
        <v>1.06</v>
      </c>
      <c r="H11" s="138">
        <f t="shared" si="1"/>
        <v>1.0804597701149425</v>
      </c>
      <c r="L11" s="184" t="s">
        <v>25</v>
      </c>
      <c r="M11" s="27">
        <f t="shared" si="2"/>
        <v>1.1814001021972407</v>
      </c>
      <c r="N11" s="27">
        <f t="shared" si="3"/>
        <v>1.1265200712117223</v>
      </c>
      <c r="O11" s="27">
        <f>VLOOKUP(L11,$B$43:$D485,$D$42,FALSE)</f>
        <v>4.6107211231652838E-2</v>
      </c>
      <c r="Q11" s="184" t="s">
        <v>25</v>
      </c>
      <c r="R11" s="27">
        <f t="shared" si="4"/>
        <v>1.2166581502299438</v>
      </c>
      <c r="S11" s="27">
        <f t="shared" si="5"/>
        <v>1.1801263019776116</v>
      </c>
      <c r="T11" s="27">
        <f>VLOOKUP(Q11,$B$43:$D485,$D$42,FALSE)</f>
        <v>4.6107211231652838E-2</v>
      </c>
      <c r="V11" s="280" t="s">
        <v>25</v>
      </c>
      <c r="W11" s="281">
        <v>1241</v>
      </c>
      <c r="X11" s="27">
        <v>5.3883895618948373E-2</v>
      </c>
      <c r="Z11" s="184" t="s">
        <v>25</v>
      </c>
      <c r="AA11" s="27">
        <f t="shared" si="6"/>
        <v>0.84825700615174304</v>
      </c>
      <c r="AB11" s="27">
        <f t="shared" si="7"/>
        <v>0.78925358798253231</v>
      </c>
      <c r="AC11" s="27">
        <f>VLOOKUP(Z11,$B$43:$D485,$D$42,FALSE)</f>
        <v>4.6107211231652838E-2</v>
      </c>
      <c r="AE11" s="186" t="s">
        <v>70</v>
      </c>
      <c r="AF11" s="186">
        <v>90</v>
      </c>
      <c r="AG11" s="186">
        <v>2771</v>
      </c>
      <c r="AH11" s="123">
        <f t="shared" si="8"/>
        <v>3.2479249368459043E-2</v>
      </c>
      <c r="AJ11" s="186" t="s">
        <v>70</v>
      </c>
      <c r="AK11" s="186">
        <v>98</v>
      </c>
      <c r="AL11" s="256">
        <f t="shared" si="9"/>
        <v>1.0888888888888888</v>
      </c>
      <c r="AM11" s="186">
        <v>2853</v>
      </c>
      <c r="AN11" s="256">
        <f t="shared" si="10"/>
        <v>3.434980722046968E-2</v>
      </c>
      <c r="AO11" s="278">
        <f t="shared" si="11"/>
        <v>1.0575923978657942</v>
      </c>
      <c r="AQ11" s="186" t="s">
        <v>70</v>
      </c>
      <c r="AR11" s="186">
        <v>98</v>
      </c>
      <c r="AS11" s="186">
        <v>2684</v>
      </c>
      <c r="AT11" s="199">
        <f t="shared" si="12"/>
        <v>3.6512667660208643E-2</v>
      </c>
      <c r="AU11" s="256">
        <f t="shared" si="13"/>
        <v>1.0888888888888888</v>
      </c>
      <c r="AV11" s="63">
        <f t="shared" si="14"/>
        <v>1.1241844676270905</v>
      </c>
      <c r="AY11" s="186" t="s">
        <v>70</v>
      </c>
      <c r="AZ11" s="186">
        <v>16</v>
      </c>
      <c r="BA11" s="186">
        <v>8</v>
      </c>
      <c r="BB11" s="186">
        <v>6</v>
      </c>
      <c r="BC11" s="186">
        <v>6</v>
      </c>
      <c r="BD11" s="186">
        <v>6</v>
      </c>
      <c r="BE11" s="186">
        <v>6</v>
      </c>
      <c r="BF11" s="186">
        <v>6</v>
      </c>
      <c r="BG11" s="186">
        <v>6</v>
      </c>
      <c r="BH11" s="129">
        <f t="shared" si="15"/>
        <v>60</v>
      </c>
      <c r="BI11" s="11">
        <v>1185</v>
      </c>
      <c r="BJ11" s="256">
        <f t="shared" si="16"/>
        <v>5.0632911392405063E-2</v>
      </c>
      <c r="BL11" s="184" t="s">
        <v>23</v>
      </c>
      <c r="BM11" s="132">
        <f t="shared" si="17"/>
        <v>1514</v>
      </c>
      <c r="BN11" s="27">
        <f t="shared" si="18"/>
        <v>5.8430782293234534E-2</v>
      </c>
    </row>
    <row r="12" spans="2:66" x14ac:dyDescent="0.25">
      <c r="B12" s="23" t="s">
        <v>19</v>
      </c>
      <c r="C12" s="21">
        <f>VLOOKUP(B12,'OR SEP'!$B$2:$H$16,'OR SEP'!$C$1,FALSE)</f>
        <v>0.7</v>
      </c>
      <c r="D12" s="17">
        <v>0.76600000000000001</v>
      </c>
      <c r="E12" s="21">
        <f>VLOOKUP(B12,'OR SEP'!$B$2:$H$16,'OR SEP'!$F$1,FALSE)</f>
        <v>0.83</v>
      </c>
      <c r="F12" s="21">
        <v>0.94199999999999995</v>
      </c>
      <c r="G12" s="138">
        <f t="shared" si="0"/>
        <v>1.0942857142857143</v>
      </c>
      <c r="H12" s="138">
        <f t="shared" si="1"/>
        <v>1.1349397590361445</v>
      </c>
      <c r="L12" s="184" t="s">
        <v>22</v>
      </c>
      <c r="M12" s="27">
        <f t="shared" si="2"/>
        <v>1.0093228655544653</v>
      </c>
      <c r="N12" s="27">
        <f t="shared" si="3"/>
        <v>0.99832470012976549</v>
      </c>
      <c r="O12" s="27">
        <f>VLOOKUP(L12,$B$43:$D486,$D$42,FALSE)</f>
        <v>4.1021857051691132E-2</v>
      </c>
      <c r="Q12" s="184" t="s">
        <v>22</v>
      </c>
      <c r="R12" s="27">
        <f t="shared" si="4"/>
        <v>0.98429833169774283</v>
      </c>
      <c r="S12" s="27">
        <f t="shared" si="5"/>
        <v>0.98334805333155473</v>
      </c>
      <c r="T12" s="27">
        <f>VLOOKUP(Q12,$B$43:$D486,$D$42,FALSE)</f>
        <v>4.1021857051691132E-2</v>
      </c>
      <c r="V12" s="280" t="s">
        <v>22</v>
      </c>
      <c r="W12" s="281">
        <v>1154</v>
      </c>
      <c r="X12" s="27">
        <v>4.0023584087677311E-2</v>
      </c>
      <c r="Z12" s="184" t="s">
        <v>22</v>
      </c>
      <c r="AA12" s="27">
        <f t="shared" si="6"/>
        <v>0.8161244695898161</v>
      </c>
      <c r="AB12" s="27">
        <f t="shared" si="7"/>
        <v>0.76616575253553709</v>
      </c>
      <c r="AC12" s="27">
        <f>VLOOKUP(Z12,$B$43:$D486,$D$42,FALSE)</f>
        <v>4.1021857051691132E-2</v>
      </c>
      <c r="AE12" s="186" t="s">
        <v>82</v>
      </c>
      <c r="AF12" s="186">
        <v>43</v>
      </c>
      <c r="AG12" s="186">
        <v>721</v>
      </c>
      <c r="AH12" s="123">
        <f t="shared" si="8"/>
        <v>5.9639389736477116E-2</v>
      </c>
      <c r="AJ12" s="186" t="s">
        <v>82</v>
      </c>
      <c r="AK12" s="186">
        <v>50</v>
      </c>
      <c r="AL12" s="256">
        <f t="shared" si="9"/>
        <v>1.1627906976744187</v>
      </c>
      <c r="AM12" s="186">
        <v>807</v>
      </c>
      <c r="AN12" s="256">
        <f t="shared" si="10"/>
        <v>6.1957868649318466E-2</v>
      </c>
      <c r="AO12" s="278">
        <f t="shared" si="11"/>
        <v>1.0388749603757816</v>
      </c>
      <c r="AQ12" s="186" t="s">
        <v>82</v>
      </c>
      <c r="AR12" s="186">
        <v>50</v>
      </c>
      <c r="AS12" s="186">
        <v>775</v>
      </c>
      <c r="AT12" s="199">
        <f t="shared" si="12"/>
        <v>6.4516129032258063E-2</v>
      </c>
      <c r="AU12" s="256">
        <f t="shared" si="13"/>
        <v>1.1627906976744187</v>
      </c>
      <c r="AV12" s="63">
        <f t="shared" si="14"/>
        <v>1.0817704426106527</v>
      </c>
      <c r="AY12" s="186" t="s">
        <v>82</v>
      </c>
      <c r="AZ12" s="186">
        <v>1</v>
      </c>
      <c r="BA12" s="186">
        <v>5</v>
      </c>
      <c r="BB12" s="186">
        <v>3</v>
      </c>
      <c r="BC12" s="186">
        <v>5</v>
      </c>
      <c r="BD12" s="186">
        <v>5</v>
      </c>
      <c r="BE12" s="186">
        <v>4</v>
      </c>
      <c r="BF12" s="186">
        <v>6</v>
      </c>
      <c r="BG12" s="186">
        <v>6</v>
      </c>
      <c r="BH12" s="129">
        <f t="shared" si="15"/>
        <v>35</v>
      </c>
      <c r="BI12" s="11">
        <v>469</v>
      </c>
      <c r="BJ12" s="256">
        <f t="shared" si="16"/>
        <v>7.4626865671641784E-2</v>
      </c>
      <c r="BL12" s="184" t="s">
        <v>19</v>
      </c>
      <c r="BM12" s="132">
        <f t="shared" si="17"/>
        <v>1365</v>
      </c>
      <c r="BN12" s="27">
        <f t="shared" si="18"/>
        <v>0.12411347517730496</v>
      </c>
    </row>
    <row r="13" spans="2:66" x14ac:dyDescent="0.25">
      <c r="B13" s="23" t="s">
        <v>23</v>
      </c>
      <c r="C13" s="21">
        <f>VLOOKUP(B13,'OR SEP'!$B$2:$H$16,'OR SEP'!$C$1,FALSE)</f>
        <v>0.75</v>
      </c>
      <c r="D13" s="17">
        <v>0.747</v>
      </c>
      <c r="E13" s="21">
        <f>VLOOKUP(B13,'OR SEP'!$B$2:$H$16,'OR SEP'!$F$1,FALSE)</f>
        <v>0.83</v>
      </c>
      <c r="F13" s="21">
        <v>0.872</v>
      </c>
      <c r="G13" s="138">
        <f t="shared" si="0"/>
        <v>0.996</v>
      </c>
      <c r="H13" s="138">
        <f t="shared" si="1"/>
        <v>1.0506024096385542</v>
      </c>
      <c r="L13" s="184" t="s">
        <v>16</v>
      </c>
      <c r="M13" s="27">
        <f t="shared" si="2"/>
        <v>0.82452916858061553</v>
      </c>
      <c r="N13" s="27">
        <f t="shared" si="3"/>
        <v>0.72917670701911286</v>
      </c>
      <c r="O13" s="27">
        <f>VLOOKUP(L13,$B$43:$D487,$D$42,FALSE)</f>
        <v>3.579690491384812E-2</v>
      </c>
      <c r="Q13" s="184" t="s">
        <v>16</v>
      </c>
      <c r="R13" s="27">
        <f t="shared" si="4"/>
        <v>0.82774460266421679</v>
      </c>
      <c r="S13" s="27">
        <f t="shared" si="5"/>
        <v>0.73702644022601338</v>
      </c>
      <c r="T13" s="27">
        <f>VLOOKUP(Q13,$B$43:$D487,$D$42,FALSE)</f>
        <v>3.579690491384812E-2</v>
      </c>
      <c r="V13" s="280" t="s">
        <v>16</v>
      </c>
      <c r="W13" s="281">
        <v>1071</v>
      </c>
      <c r="X13" s="27">
        <v>1.4498050682261208E-2</v>
      </c>
      <c r="Z13" s="184" t="s">
        <v>16</v>
      </c>
      <c r="AA13" s="27">
        <f t="shared" si="6"/>
        <v>0.9916666666666667</v>
      </c>
      <c r="AB13" s="27">
        <f t="shared" si="7"/>
        <v>0.82927507490433905</v>
      </c>
      <c r="AC13" s="27">
        <f>VLOOKUP(Z13,$B$43:$D487,$D$42,FALSE)</f>
        <v>3.579690491384812E-2</v>
      </c>
      <c r="AE13" s="186" t="s">
        <v>26</v>
      </c>
      <c r="AF13" s="186">
        <v>1648</v>
      </c>
      <c r="AG13" s="186">
        <v>24104</v>
      </c>
      <c r="AH13" s="123">
        <f t="shared" si="8"/>
        <v>6.8370394955194161E-2</v>
      </c>
      <c r="AJ13" s="186" t="s">
        <v>26</v>
      </c>
      <c r="AK13" s="186">
        <v>1100</v>
      </c>
      <c r="AL13" s="256">
        <f t="shared" si="9"/>
        <v>0.66747572815533984</v>
      </c>
      <c r="AM13" s="186">
        <v>20031</v>
      </c>
      <c r="AN13" s="256">
        <f t="shared" si="10"/>
        <v>5.4914881933003847E-2</v>
      </c>
      <c r="AO13" s="278">
        <f t="shared" si="11"/>
        <v>0.80319679254437182</v>
      </c>
      <c r="AQ13" s="186" t="s">
        <v>26</v>
      </c>
      <c r="AR13" s="186">
        <v>1090</v>
      </c>
      <c r="AS13" s="186">
        <v>19508</v>
      </c>
      <c r="AT13" s="199">
        <f t="shared" si="12"/>
        <v>5.5874513020299367E-2</v>
      </c>
      <c r="AU13" s="256">
        <f t="shared" si="13"/>
        <v>0.66140776699029125</v>
      </c>
      <c r="AV13" s="63">
        <f t="shared" si="14"/>
        <v>0.81723256179690285</v>
      </c>
      <c r="AY13" s="186" t="s">
        <v>26</v>
      </c>
      <c r="AZ13" s="186">
        <v>111</v>
      </c>
      <c r="BA13" s="186">
        <v>117</v>
      </c>
      <c r="BB13" s="186">
        <v>70</v>
      </c>
      <c r="BC13" s="186">
        <v>85</v>
      </c>
      <c r="BD13" s="186">
        <v>90</v>
      </c>
      <c r="BE13" s="186">
        <v>100</v>
      </c>
      <c r="BF13" s="186">
        <v>89</v>
      </c>
      <c r="BG13" s="186">
        <v>96</v>
      </c>
      <c r="BH13" s="129">
        <f t="shared" si="15"/>
        <v>758</v>
      </c>
      <c r="BI13" s="11">
        <v>13263</v>
      </c>
      <c r="BJ13" s="256">
        <f t="shared" si="16"/>
        <v>5.7151474025484428E-2</v>
      </c>
      <c r="BL13" s="184" t="s">
        <v>25</v>
      </c>
      <c r="BM13" s="132">
        <f t="shared" si="17"/>
        <v>1463</v>
      </c>
      <c r="BN13" s="27">
        <f t="shared" si="18"/>
        <v>6.8271967893975452E-2</v>
      </c>
    </row>
    <row r="14" spans="2:66" x14ac:dyDescent="0.25">
      <c r="B14" s="23" t="s">
        <v>20</v>
      </c>
      <c r="C14" s="21">
        <f>VLOOKUP(B14,'OR SEP'!$B$2:$H$16,'OR SEP'!$C$1,FALSE)</f>
        <v>0.7</v>
      </c>
      <c r="D14" s="17">
        <v>0.67300000000000004</v>
      </c>
      <c r="E14" s="21">
        <f>VLOOKUP(B14,'OR SEP'!$B$2:$H$16,'OR SEP'!$F$1,FALSE)</f>
        <v>0.83</v>
      </c>
      <c r="F14" s="21">
        <v>0.99199999999999999</v>
      </c>
      <c r="G14" s="138">
        <f t="shared" si="0"/>
        <v>0.96142857142857152</v>
      </c>
      <c r="H14" s="138">
        <f t="shared" si="1"/>
        <v>1.1951807228915663</v>
      </c>
      <c r="L14" s="184" t="s">
        <v>18</v>
      </c>
      <c r="M14" s="27">
        <f t="shared" si="2"/>
        <v>0.73995271867612289</v>
      </c>
      <c r="N14" s="27">
        <f t="shared" si="3"/>
        <v>0.74956536011538133</v>
      </c>
      <c r="O14" s="27">
        <f>VLOOKUP(L14,$B$43:$D488,$D$42,FALSE)</f>
        <v>3.7452137843012122E-2</v>
      </c>
      <c r="Q14" s="184" t="s">
        <v>18</v>
      </c>
      <c r="R14" s="27">
        <f t="shared" si="4"/>
        <v>0.73995271867612289</v>
      </c>
      <c r="S14" s="27">
        <f t="shared" si="5"/>
        <v>0.7693805442208147</v>
      </c>
      <c r="T14" s="27">
        <f>VLOOKUP(Q14,$B$43:$D488,$D$42,FALSE)</f>
        <v>3.7452137843012122E-2</v>
      </c>
      <c r="V14" s="280" t="s">
        <v>18</v>
      </c>
      <c r="W14" s="281">
        <v>967</v>
      </c>
      <c r="X14" s="27">
        <v>2.2626234264588891E-2</v>
      </c>
      <c r="Z14" s="184" t="s">
        <v>18</v>
      </c>
      <c r="AA14" s="27">
        <f t="shared" si="6"/>
        <v>0.67527932960893855</v>
      </c>
      <c r="AB14" s="27">
        <f t="shared" si="7"/>
        <v>0.57845421538170338</v>
      </c>
      <c r="AC14" s="27">
        <f>VLOOKUP(Z14,$B$43:$D488,$D$42,FALSE)</f>
        <v>3.7452137843012122E-2</v>
      </c>
      <c r="AE14" s="186" t="s">
        <v>13</v>
      </c>
      <c r="AF14" s="186">
        <v>12485</v>
      </c>
      <c r="AG14" s="186">
        <v>193683</v>
      </c>
      <c r="AH14" s="123">
        <f t="shared" si="8"/>
        <v>6.4461000707341384E-2</v>
      </c>
      <c r="AJ14" s="186" t="s">
        <v>13</v>
      </c>
      <c r="AK14" s="186">
        <v>13963</v>
      </c>
      <c r="AL14" s="256">
        <f t="shared" si="9"/>
        <v>1.1183820584701643</v>
      </c>
      <c r="AM14" s="186">
        <v>232716</v>
      </c>
      <c r="AN14" s="256">
        <f t="shared" si="10"/>
        <v>6.0000171883325598E-2</v>
      </c>
      <c r="AO14" s="278">
        <f t="shared" si="11"/>
        <v>0.93079802089532648</v>
      </c>
      <c r="AQ14" s="186" t="s">
        <v>13</v>
      </c>
      <c r="AR14" s="186">
        <v>13963</v>
      </c>
      <c r="AS14" s="186">
        <v>228901</v>
      </c>
      <c r="AT14" s="199">
        <f t="shared" si="12"/>
        <v>6.1000170379334299E-2</v>
      </c>
      <c r="AU14" s="256">
        <f t="shared" si="13"/>
        <v>1.1183820584701643</v>
      </c>
      <c r="AV14" s="63">
        <f t="shared" si="14"/>
        <v>0.94631125347061307</v>
      </c>
      <c r="AY14" s="186" t="s">
        <v>13</v>
      </c>
      <c r="AZ14" s="186">
        <v>1020</v>
      </c>
      <c r="BA14" s="186">
        <v>973</v>
      </c>
      <c r="BB14" s="186">
        <v>1003</v>
      </c>
      <c r="BC14" s="186">
        <v>1059</v>
      </c>
      <c r="BD14" s="186">
        <v>1044</v>
      </c>
      <c r="BE14" s="186">
        <v>1090</v>
      </c>
      <c r="BF14" s="186">
        <v>1126</v>
      </c>
      <c r="BG14" s="186">
        <v>1351</v>
      </c>
      <c r="BH14" s="129">
        <f t="shared" si="15"/>
        <v>8666</v>
      </c>
      <c r="BI14" s="11">
        <v>136692</v>
      </c>
      <c r="BJ14" s="256">
        <f t="shared" si="16"/>
        <v>6.339800427237878E-2</v>
      </c>
      <c r="BL14" s="184" t="s">
        <v>22</v>
      </c>
      <c r="BM14" s="132">
        <f t="shared" si="17"/>
        <v>1414</v>
      </c>
      <c r="BN14" s="27">
        <f t="shared" si="18"/>
        <v>5.2238805970149252E-2</v>
      </c>
    </row>
    <row r="15" spans="2:66" x14ac:dyDescent="0.25">
      <c r="B15" s="23" t="s">
        <v>21</v>
      </c>
      <c r="C15" s="21">
        <f>VLOOKUP(B15,'OR SEP'!$B$2:$H$16,'OR SEP'!$C$1,FALSE)</f>
        <v>0.7</v>
      </c>
      <c r="D15" s="17">
        <v>0.58399999999999996</v>
      </c>
      <c r="E15" s="21">
        <f>VLOOKUP(B15,'OR SEP'!$B$2:$H$16,'OR SEP'!$F$1,FALSE)</f>
        <v>0.83</v>
      </c>
      <c r="F15" s="21">
        <v>0.90600000000000003</v>
      </c>
      <c r="G15" s="138">
        <f t="shared" si="0"/>
        <v>0.8342857142857143</v>
      </c>
      <c r="H15" s="138">
        <f t="shared" si="1"/>
        <v>1.0915662650602411</v>
      </c>
      <c r="L15" s="184" t="s">
        <v>33</v>
      </c>
      <c r="M15" s="27">
        <f t="shared" si="2"/>
        <v>0.89778840406455473</v>
      </c>
      <c r="N15" s="27">
        <f t="shared" si="3"/>
        <v>0.8986245932021496</v>
      </c>
      <c r="O15" s="27">
        <f>VLOOKUP(L15,$B$43:$D489,$D$42,FALSE)</f>
        <v>2.9953733248245053E-2</v>
      </c>
      <c r="Q15" s="184" t="s">
        <v>33</v>
      </c>
      <c r="R15" s="27">
        <f t="shared" si="4"/>
        <v>0.89181111775254029</v>
      </c>
      <c r="S15" s="27">
        <f t="shared" si="5"/>
        <v>0.89882739862476635</v>
      </c>
      <c r="T15" s="27">
        <f>VLOOKUP(Q15,$B$43:$D489,$D$42,FALSE)</f>
        <v>2.9953733248245053E-2</v>
      </c>
      <c r="V15" s="280" t="s">
        <v>33</v>
      </c>
      <c r="W15" s="281">
        <v>886</v>
      </c>
      <c r="X15" s="27">
        <v>6.9818754925137907E-2</v>
      </c>
      <c r="Z15" s="184" t="s">
        <v>33</v>
      </c>
      <c r="AA15" s="27">
        <f t="shared" si="6"/>
        <v>0.88159203980099499</v>
      </c>
      <c r="AB15" s="27">
        <f t="shared" si="7"/>
        <v>0.86012537783893772</v>
      </c>
      <c r="AC15" s="27">
        <f>VLOOKUP(Z15,$B$43:$D489,$D$42,FALSE)</f>
        <v>2.9953733248245053E-2</v>
      </c>
      <c r="AE15" s="186" t="s">
        <v>15</v>
      </c>
      <c r="AF15" s="186">
        <v>7013</v>
      </c>
      <c r="AG15" s="186">
        <v>74311</v>
      </c>
      <c r="AH15" s="123">
        <f t="shared" si="8"/>
        <v>9.437364589360929E-2</v>
      </c>
      <c r="AJ15" s="186" t="s">
        <v>15</v>
      </c>
      <c r="AK15" s="186">
        <v>6523</v>
      </c>
      <c r="AL15" s="256">
        <f t="shared" si="9"/>
        <v>0.93012975901896477</v>
      </c>
      <c r="AM15" s="186">
        <v>64739</v>
      </c>
      <c r="AN15" s="256">
        <f t="shared" si="10"/>
        <v>0.10075843000355272</v>
      </c>
      <c r="AO15" s="278">
        <f t="shared" si="11"/>
        <v>1.0676543122763449</v>
      </c>
      <c r="AQ15" s="186" t="s">
        <v>15</v>
      </c>
      <c r="AR15" s="186">
        <v>6495</v>
      </c>
      <c r="AS15" s="186">
        <v>63375</v>
      </c>
      <c r="AT15" s="199">
        <f t="shared" si="12"/>
        <v>0.10248520710059171</v>
      </c>
      <c r="AU15" s="256">
        <f t="shared" si="13"/>
        <v>0.92613717382004845</v>
      </c>
      <c r="AV15" s="63">
        <f t="shared" si="14"/>
        <v>1.0859515506704791</v>
      </c>
      <c r="AY15" s="186" t="s">
        <v>15</v>
      </c>
      <c r="AZ15" s="186">
        <v>719</v>
      </c>
      <c r="BA15" s="186">
        <v>702</v>
      </c>
      <c r="BB15" s="186">
        <v>455</v>
      </c>
      <c r="BC15" s="186">
        <v>441</v>
      </c>
      <c r="BD15" s="186">
        <v>441</v>
      </c>
      <c r="BE15" s="186">
        <v>487</v>
      </c>
      <c r="BF15" s="186">
        <v>473</v>
      </c>
      <c r="BG15" s="186">
        <v>553</v>
      </c>
      <c r="BH15" s="129">
        <f t="shared" si="15"/>
        <v>4271</v>
      </c>
      <c r="BI15" s="11">
        <v>41848</v>
      </c>
      <c r="BJ15" s="256">
        <f t="shared" si="16"/>
        <v>0.10205983559548844</v>
      </c>
      <c r="BL15" s="184" t="s">
        <v>16</v>
      </c>
      <c r="BM15" s="132">
        <f t="shared" si="17"/>
        <v>1080</v>
      </c>
      <c r="BN15" s="27">
        <f t="shared" si="18"/>
        <v>1.7482800485633346E-2</v>
      </c>
    </row>
    <row r="16" spans="2:66" x14ac:dyDescent="0.25">
      <c r="B16" s="23" t="s">
        <v>25</v>
      </c>
      <c r="C16" s="21">
        <f>VLOOKUP(B16,'OR SEP'!$B$2:$H$16,'OR SEP'!$C$1,FALSE)</f>
        <v>0.84</v>
      </c>
      <c r="D16" s="17">
        <v>0.88600000000000001</v>
      </c>
      <c r="E16" s="21">
        <f>VLOOKUP(B16,'OR SEP'!$B$2:$H$16,'OR SEP'!$F$1,FALSE)</f>
        <v>0.9</v>
      </c>
      <c r="F16" s="21">
        <v>0.93799999999999994</v>
      </c>
      <c r="G16" s="138">
        <f t="shared" si="0"/>
        <v>1.0547619047619048</v>
      </c>
      <c r="H16" s="138">
        <f t="shared" si="1"/>
        <v>1.0422222222222222</v>
      </c>
      <c r="L16" s="184" t="s">
        <v>21</v>
      </c>
      <c r="M16" s="27">
        <f t="shared" si="2"/>
        <v>1.0278019113814074</v>
      </c>
      <c r="N16" s="27">
        <f t="shared" si="3"/>
        <v>0.98673494280925111</v>
      </c>
      <c r="O16" s="27">
        <f>VLOOKUP(L16,$B$43:$D490,$D$42,FALSE)</f>
        <v>2.3592054881940012E-2</v>
      </c>
      <c r="Q16" s="184" t="s">
        <v>21</v>
      </c>
      <c r="R16" s="27">
        <f t="shared" si="4"/>
        <v>1.0616854908774978</v>
      </c>
      <c r="S16" s="27">
        <f t="shared" si="5"/>
        <v>1.0236636964383588</v>
      </c>
      <c r="T16" s="27">
        <f>VLOOKUP(Q16,$B$43:$D490,$D$42,FALSE)</f>
        <v>2.3592054881940012E-2</v>
      </c>
      <c r="V16" s="280" t="s">
        <v>21</v>
      </c>
      <c r="W16" s="281">
        <v>727</v>
      </c>
      <c r="X16" s="27">
        <v>4.5465916197623517E-2</v>
      </c>
      <c r="Z16" s="184" t="s">
        <v>21</v>
      </c>
      <c r="AA16" s="27">
        <f t="shared" si="6"/>
        <v>1.0167832167832167</v>
      </c>
      <c r="AB16" s="27">
        <f t="shared" si="7"/>
        <v>0.80986560656354278</v>
      </c>
      <c r="AC16" s="27">
        <f>VLOOKUP(Z16,$B$43:$D490,$D$42,FALSE)</f>
        <v>2.3592054881940012E-2</v>
      </c>
      <c r="AE16" s="186" t="s">
        <v>83</v>
      </c>
      <c r="AF16" s="186">
        <v>251</v>
      </c>
      <c r="AG16" s="186">
        <v>3383</v>
      </c>
      <c r="AH16" s="123">
        <f t="shared" si="8"/>
        <v>7.4194501921371558E-2</v>
      </c>
      <c r="AJ16" s="186" t="s">
        <v>83</v>
      </c>
      <c r="AK16" s="186">
        <v>278</v>
      </c>
      <c r="AL16" s="256">
        <f t="shared" si="9"/>
        <v>1.1075697211155378</v>
      </c>
      <c r="AM16" s="186">
        <v>2765</v>
      </c>
      <c r="AN16" s="256">
        <f t="shared" si="10"/>
        <v>0.10054249547920434</v>
      </c>
      <c r="AO16" s="278">
        <f t="shared" si="11"/>
        <v>1.3551205665583597</v>
      </c>
      <c r="AQ16" s="186" t="s">
        <v>83</v>
      </c>
      <c r="AR16" s="186">
        <v>280</v>
      </c>
      <c r="AS16" s="186">
        <v>2765</v>
      </c>
      <c r="AT16" s="199">
        <f t="shared" si="12"/>
        <v>0.10126582278481013</v>
      </c>
      <c r="AU16" s="256">
        <f t="shared" si="13"/>
        <v>1.1155378486055776</v>
      </c>
      <c r="AV16" s="63">
        <f t="shared" si="14"/>
        <v>1.3648696353825207</v>
      </c>
      <c r="AY16" s="186" t="s">
        <v>83</v>
      </c>
      <c r="AZ16" s="186">
        <v>17</v>
      </c>
      <c r="BA16" s="186">
        <v>19</v>
      </c>
      <c r="BB16" s="186">
        <v>25</v>
      </c>
      <c r="BC16" s="186">
        <v>23</v>
      </c>
      <c r="BD16" s="186">
        <v>25</v>
      </c>
      <c r="BE16" s="186">
        <v>23</v>
      </c>
      <c r="BF16" s="186">
        <v>22</v>
      </c>
      <c r="BG16" s="186">
        <v>21</v>
      </c>
      <c r="BH16" s="129">
        <f t="shared" si="15"/>
        <v>175</v>
      </c>
      <c r="BI16" s="11">
        <v>1828</v>
      </c>
      <c r="BJ16" s="256">
        <f t="shared" si="16"/>
        <v>9.5733041575492339E-2</v>
      </c>
      <c r="BL16" s="184" t="s">
        <v>18</v>
      </c>
      <c r="BM16" s="132">
        <f t="shared" si="17"/>
        <v>1432</v>
      </c>
      <c r="BN16" s="27">
        <f t="shared" si="18"/>
        <v>3.9114995902758812E-2</v>
      </c>
    </row>
    <row r="17" spans="2:66" x14ac:dyDescent="0.25">
      <c r="B17" s="23" t="s">
        <v>22</v>
      </c>
      <c r="C17" s="21">
        <f>VLOOKUP(B17,'OR SEP'!$B$2:$H$16,'OR SEP'!$C$1,FALSE)</f>
        <v>0.7</v>
      </c>
      <c r="D17" s="17">
        <v>0.76800000000000002</v>
      </c>
      <c r="E17" s="21">
        <f>VLOOKUP(B17,'OR SEP'!$B$2:$H$16,'OR SEP'!$F$1,FALSE)</f>
        <v>0.88</v>
      </c>
      <c r="F17" s="21">
        <v>0.96199999999999997</v>
      </c>
      <c r="G17" s="138">
        <f t="shared" si="0"/>
        <v>1.0971428571428572</v>
      </c>
      <c r="H17" s="138">
        <f t="shared" si="1"/>
        <v>1.093181818181818</v>
      </c>
      <c r="L17" s="184" t="s">
        <v>26</v>
      </c>
      <c r="M17" s="27">
        <f t="shared" si="2"/>
        <v>0.66747572815533984</v>
      </c>
      <c r="N17" s="27">
        <f t="shared" si="3"/>
        <v>0.80319679254437182</v>
      </c>
      <c r="O17" s="27">
        <f>VLOOKUP(L17,$B$43:$D491,$D$42,FALSE)</f>
        <v>2.1936821952776006E-2</v>
      </c>
      <c r="Q17" s="184" t="s">
        <v>26</v>
      </c>
      <c r="R17" s="27">
        <f t="shared" si="4"/>
        <v>0.66140776699029125</v>
      </c>
      <c r="S17" s="27">
        <f t="shared" si="5"/>
        <v>0.81723256179690285</v>
      </c>
      <c r="T17" s="27">
        <f>VLOOKUP(Q17,$B$43:$D491,$D$42,FALSE)</f>
        <v>2.1936821952776006E-2</v>
      </c>
      <c r="V17" s="280" t="s">
        <v>26</v>
      </c>
      <c r="W17" s="281">
        <v>704</v>
      </c>
      <c r="X17" s="27">
        <v>5.0264172497501071E-2</v>
      </c>
      <c r="Z17" s="184" t="s">
        <v>26</v>
      </c>
      <c r="AA17" s="27">
        <f t="shared" si="6"/>
        <v>0.9287598944591029</v>
      </c>
      <c r="AB17" s="27">
        <f t="shared" si="7"/>
        <v>0.87949039555983743</v>
      </c>
      <c r="AC17" s="27">
        <f>VLOOKUP(Z17,$B$43:$D491,$D$42,FALSE)</f>
        <v>2.1936821952776006E-2</v>
      </c>
      <c r="AE17" s="186" t="s">
        <v>71</v>
      </c>
      <c r="AF17" s="186">
        <v>69</v>
      </c>
      <c r="AG17" s="186">
        <v>301</v>
      </c>
      <c r="AH17" s="123">
        <f t="shared" si="8"/>
        <v>0.2292358803986711</v>
      </c>
      <c r="AJ17" s="186" t="s">
        <v>71</v>
      </c>
      <c r="AK17" s="186">
        <v>47</v>
      </c>
      <c r="AL17" s="256">
        <f t="shared" si="9"/>
        <v>0.6811594202898551</v>
      </c>
      <c r="AM17" s="186">
        <v>215</v>
      </c>
      <c r="AN17" s="256">
        <f t="shared" si="10"/>
        <v>0.21860465116279071</v>
      </c>
      <c r="AO17" s="278">
        <f t="shared" si="11"/>
        <v>0.95362318840579718</v>
      </c>
      <c r="AQ17" s="186" t="s">
        <v>71</v>
      </c>
      <c r="AR17" s="186">
        <v>47</v>
      </c>
      <c r="AS17" s="186">
        <v>224</v>
      </c>
      <c r="AT17" s="199">
        <f t="shared" si="12"/>
        <v>0.20982142857142858</v>
      </c>
      <c r="AU17" s="256">
        <f t="shared" si="13"/>
        <v>0.6811594202898551</v>
      </c>
      <c r="AV17" s="63">
        <f t="shared" si="14"/>
        <v>0.91530797101449279</v>
      </c>
      <c r="AY17" s="186" t="s">
        <v>71</v>
      </c>
      <c r="AZ17" s="186">
        <v>3</v>
      </c>
      <c r="BA17" s="186">
        <v>2</v>
      </c>
      <c r="BB17" s="186">
        <v>1</v>
      </c>
      <c r="BC17" s="186">
        <v>6</v>
      </c>
      <c r="BD17" s="186">
        <v>6</v>
      </c>
      <c r="BE17" s="186">
        <v>6</v>
      </c>
      <c r="BF17" s="186">
        <v>5</v>
      </c>
      <c r="BG17" s="186">
        <v>5</v>
      </c>
      <c r="BH17" s="129">
        <f t="shared" si="15"/>
        <v>34</v>
      </c>
      <c r="BI17" s="11">
        <v>145</v>
      </c>
      <c r="BJ17" s="256">
        <f t="shared" si="16"/>
        <v>0.23448275862068965</v>
      </c>
      <c r="BL17" s="184" t="s">
        <v>33</v>
      </c>
      <c r="BM17" s="132">
        <f t="shared" si="17"/>
        <v>1005</v>
      </c>
      <c r="BN17" s="27">
        <f t="shared" si="18"/>
        <v>8.1172764720135696E-2</v>
      </c>
    </row>
    <row r="18" spans="2:66" x14ac:dyDescent="0.25">
      <c r="B18" s="23" t="s">
        <v>76</v>
      </c>
      <c r="C18" s="21">
        <f>VLOOKUP(B18,'OR SEP'!$B$2:$H$16,'OR SEP'!$C$1,FALSE)</f>
        <v>0.7</v>
      </c>
      <c r="D18" s="17">
        <v>0.56000000000000005</v>
      </c>
      <c r="E18" s="21">
        <f>VLOOKUP(B18,'OR SEP'!$B$2:$H$16,'OR SEP'!$F$1,FALSE)</f>
        <v>0.88</v>
      </c>
      <c r="F18" s="21">
        <v>0.92500000000000004</v>
      </c>
      <c r="G18" s="138">
        <f t="shared" si="0"/>
        <v>0.80000000000000016</v>
      </c>
      <c r="H18" s="138">
        <f t="shared" si="1"/>
        <v>1.0511363636363638</v>
      </c>
      <c r="L18" s="184" t="s">
        <v>85</v>
      </c>
      <c r="M18" s="27">
        <f t="shared" si="2"/>
        <v>0.99496644295302017</v>
      </c>
      <c r="N18" s="27">
        <f t="shared" si="3"/>
        <v>0.95219727189994008</v>
      </c>
      <c r="O18" s="27">
        <f>VLOOKUP(L18,$B$43:$D492,$D$42,FALSE)</f>
        <v>1.1825941289087429E-2</v>
      </c>
      <c r="Q18" s="184" t="s">
        <v>85</v>
      </c>
      <c r="R18" s="27">
        <f t="shared" si="4"/>
        <v>1.0453020134228188</v>
      </c>
      <c r="S18" s="27">
        <f t="shared" si="5"/>
        <v>1.0320692754686678</v>
      </c>
      <c r="T18" s="27">
        <f>VLOOKUP(Q18,$B$43:$D492,$D$42,FALSE)</f>
        <v>1.1825941289087429E-2</v>
      </c>
      <c r="V18" s="280" t="s">
        <v>28</v>
      </c>
      <c r="W18" s="281">
        <v>359</v>
      </c>
      <c r="X18" s="27">
        <v>4.2834983892136975E-2</v>
      </c>
      <c r="Z18" s="184" t="s">
        <v>85</v>
      </c>
      <c r="AA18" s="27">
        <f t="shared" si="6"/>
        <v>0.86091127098321341</v>
      </c>
      <c r="AB18" s="27">
        <f t="shared" si="7"/>
        <v>0.76003847917966783</v>
      </c>
      <c r="AC18" s="27">
        <f>VLOOKUP(Z18,$B$43:$D492,$D$42,FALSE)</f>
        <v>1.1825941289087429E-2</v>
      </c>
      <c r="AE18" s="186" t="s">
        <v>22</v>
      </c>
      <c r="AF18" s="186">
        <v>2038</v>
      </c>
      <c r="AG18" s="186">
        <v>41392</v>
      </c>
      <c r="AH18" s="123">
        <f t="shared" si="8"/>
        <v>4.9236567452647852E-2</v>
      </c>
      <c r="AJ18" s="186" t="s">
        <v>22</v>
      </c>
      <c r="AK18" s="186">
        <v>2057</v>
      </c>
      <c r="AL18" s="256">
        <f t="shared" si="9"/>
        <v>1.0093228655544653</v>
      </c>
      <c r="AM18" s="186">
        <v>41848</v>
      </c>
      <c r="AN18" s="256">
        <f t="shared" si="10"/>
        <v>4.9154081437583638E-2</v>
      </c>
      <c r="AO18" s="278">
        <f t="shared" si="11"/>
        <v>0.99832470012976549</v>
      </c>
      <c r="AQ18" s="186" t="s">
        <v>22</v>
      </c>
      <c r="AR18" s="186">
        <v>2006</v>
      </c>
      <c r="AS18" s="186">
        <v>41432</v>
      </c>
      <c r="AT18" s="199">
        <f t="shared" si="12"/>
        <v>4.8416682757289053E-2</v>
      </c>
      <c r="AU18" s="256">
        <f t="shared" si="13"/>
        <v>0.98429833169774283</v>
      </c>
      <c r="AV18" s="63">
        <f t="shared" si="14"/>
        <v>0.98334805333155473</v>
      </c>
      <c r="AY18" s="186" t="s">
        <v>22</v>
      </c>
      <c r="AZ18" s="186">
        <v>130</v>
      </c>
      <c r="BA18" s="186">
        <v>130</v>
      </c>
      <c r="BB18" s="186">
        <v>170</v>
      </c>
      <c r="BC18" s="186">
        <v>174</v>
      </c>
      <c r="BD18" s="186">
        <v>154</v>
      </c>
      <c r="BE18" s="186">
        <v>190</v>
      </c>
      <c r="BF18" s="186">
        <v>284</v>
      </c>
      <c r="BG18" s="186">
        <v>182</v>
      </c>
      <c r="BH18" s="129">
        <f t="shared" si="15"/>
        <v>1414</v>
      </c>
      <c r="BI18" s="11">
        <v>27068</v>
      </c>
      <c r="BJ18" s="256">
        <f t="shared" si="16"/>
        <v>5.2238805970149252E-2</v>
      </c>
      <c r="BL18" s="184" t="s">
        <v>21</v>
      </c>
      <c r="BM18" s="132">
        <f t="shared" si="17"/>
        <v>715</v>
      </c>
      <c r="BN18" s="27">
        <f t="shared" si="18"/>
        <v>5.6140075376884424E-2</v>
      </c>
    </row>
    <row r="19" spans="2:66" x14ac:dyDescent="0.25">
      <c r="B19" s="23" t="s">
        <v>219</v>
      </c>
      <c r="C19" s="21" t="e">
        <f>VLOOKUP(B19,'OR SEP'!$B$2:$H$16,'OR SEP'!$C$1,FALSE)</f>
        <v>#N/A</v>
      </c>
      <c r="D19" s="17">
        <v>0.77500000000000002</v>
      </c>
      <c r="E19" s="21" t="e">
        <f>VLOOKUP(B19,'OR SEP'!$B$2:$H$16,'OR SEP'!$F$1,FALSE)</f>
        <v>#N/A</v>
      </c>
      <c r="F19" s="21">
        <v>0.94199999999999995</v>
      </c>
      <c r="G19" s="138" t="e">
        <f t="shared" si="0"/>
        <v>#N/A</v>
      </c>
      <c r="H19" s="138" t="e">
        <f t="shared" si="1"/>
        <v>#N/A</v>
      </c>
      <c r="AE19" s="186" t="s">
        <v>16</v>
      </c>
      <c r="AF19" s="186">
        <v>2177</v>
      </c>
      <c r="AG19" s="186">
        <v>91139</v>
      </c>
      <c r="AH19" s="123">
        <f t="shared" si="8"/>
        <v>2.3886590811836864E-2</v>
      </c>
      <c r="AJ19" s="186" t="s">
        <v>16</v>
      </c>
      <c r="AK19" s="186">
        <v>1795</v>
      </c>
      <c r="AL19" s="256">
        <f t="shared" si="9"/>
        <v>0.82452916858061553</v>
      </c>
      <c r="AM19" s="186">
        <v>103057</v>
      </c>
      <c r="AN19" s="256">
        <f t="shared" si="10"/>
        <v>1.7417545630088203E-2</v>
      </c>
      <c r="AO19" s="278">
        <f t="shared" si="11"/>
        <v>0.72917670701911286</v>
      </c>
      <c r="AQ19" s="186" t="s">
        <v>16</v>
      </c>
      <c r="AR19" s="186">
        <v>1802</v>
      </c>
      <c r="AS19" s="186">
        <v>102357</v>
      </c>
      <c r="AT19" s="199">
        <f t="shared" si="12"/>
        <v>1.7605048995183524E-2</v>
      </c>
      <c r="AU19" s="256">
        <f t="shared" si="13"/>
        <v>0.82774460266421679</v>
      </c>
      <c r="AV19" s="63">
        <f t="shared" si="14"/>
        <v>0.73702644022601338</v>
      </c>
      <c r="AY19" s="186" t="s">
        <v>16</v>
      </c>
      <c r="AZ19" s="186">
        <v>128</v>
      </c>
      <c r="BA19" s="186">
        <v>111</v>
      </c>
      <c r="BB19" s="186">
        <v>111</v>
      </c>
      <c r="BC19" s="186">
        <v>119</v>
      </c>
      <c r="BD19" s="186">
        <v>135</v>
      </c>
      <c r="BE19" s="186">
        <v>150</v>
      </c>
      <c r="BF19" s="186">
        <v>162</v>
      </c>
      <c r="BG19" s="186">
        <v>164</v>
      </c>
      <c r="BH19" s="129">
        <f t="shared" si="15"/>
        <v>1080</v>
      </c>
      <c r="BI19" s="11">
        <v>61775</v>
      </c>
      <c r="BJ19" s="256">
        <f t="shared" si="16"/>
        <v>1.7482800485633346E-2</v>
      </c>
      <c r="BL19" s="184" t="s">
        <v>26</v>
      </c>
      <c r="BM19" s="132">
        <f t="shared" si="17"/>
        <v>758</v>
      </c>
      <c r="BN19" s="27">
        <f t="shared" si="18"/>
        <v>5.7151474025484428E-2</v>
      </c>
    </row>
    <row r="20" spans="2:66" x14ac:dyDescent="0.25">
      <c r="AE20" s="186" t="s">
        <v>19</v>
      </c>
      <c r="AF20" s="186">
        <v>2270</v>
      </c>
      <c r="AG20" s="186">
        <v>17671</v>
      </c>
      <c r="AH20" s="123">
        <f t="shared" si="8"/>
        <v>0.12845905721238188</v>
      </c>
      <c r="AJ20" s="186" t="s">
        <v>19</v>
      </c>
      <c r="AK20" s="186">
        <v>2229</v>
      </c>
      <c r="AL20" s="256">
        <f t="shared" si="9"/>
        <v>0.98193832599118946</v>
      </c>
      <c r="AM20" s="186">
        <v>17398</v>
      </c>
      <c r="AN20" s="256">
        <f t="shared" si="10"/>
        <v>0.12811817450281643</v>
      </c>
      <c r="AO20" s="278">
        <f t="shared" si="11"/>
        <v>0.99734637076619781</v>
      </c>
      <c r="AQ20" s="186" t="s">
        <v>19</v>
      </c>
      <c r="AR20" s="186">
        <v>2284</v>
      </c>
      <c r="AS20" s="186">
        <v>17163</v>
      </c>
      <c r="AT20" s="199">
        <f t="shared" si="12"/>
        <v>0.13307696789605547</v>
      </c>
      <c r="AU20" s="256">
        <f t="shared" si="13"/>
        <v>1.0061674008810573</v>
      </c>
      <c r="AV20" s="63">
        <f t="shared" si="14"/>
        <v>1.0359485020666062</v>
      </c>
      <c r="AY20" s="186" t="s">
        <v>19</v>
      </c>
      <c r="AZ20" s="186">
        <v>138</v>
      </c>
      <c r="BA20" s="186">
        <v>175</v>
      </c>
      <c r="BB20" s="186">
        <v>158</v>
      </c>
      <c r="BC20" s="186">
        <v>166</v>
      </c>
      <c r="BD20" s="186">
        <v>165</v>
      </c>
      <c r="BE20" s="186">
        <v>161</v>
      </c>
      <c r="BF20" s="186">
        <v>204</v>
      </c>
      <c r="BG20" s="186">
        <v>198</v>
      </c>
      <c r="BH20" s="129">
        <f t="shared" si="15"/>
        <v>1365</v>
      </c>
      <c r="BI20" s="11">
        <v>10998</v>
      </c>
      <c r="BJ20" s="256">
        <f t="shared" si="16"/>
        <v>0.12411347517730496</v>
      </c>
      <c r="BL20" s="184" t="s">
        <v>85</v>
      </c>
      <c r="BM20" s="132">
        <f t="shared" si="17"/>
        <v>417</v>
      </c>
      <c r="BN20" s="27">
        <f t="shared" si="18"/>
        <v>5.6358967428030815E-2</v>
      </c>
    </row>
    <row r="21" spans="2:66" x14ac:dyDescent="0.25">
      <c r="AE21" s="186" t="s">
        <v>72</v>
      </c>
      <c r="AF21" s="186">
        <v>56</v>
      </c>
      <c r="AG21" s="186">
        <v>843</v>
      </c>
      <c r="AH21" s="123">
        <f t="shared" si="8"/>
        <v>6.6429418742585997E-2</v>
      </c>
      <c r="AJ21" s="186" t="s">
        <v>72</v>
      </c>
      <c r="AK21" s="186">
        <v>54</v>
      </c>
      <c r="AL21" s="256">
        <f t="shared" si="9"/>
        <v>0.9642857142857143</v>
      </c>
      <c r="AM21" s="186">
        <v>530</v>
      </c>
      <c r="AN21" s="256">
        <f t="shared" si="10"/>
        <v>0.10188679245283019</v>
      </c>
      <c r="AO21" s="278">
        <f t="shared" si="11"/>
        <v>1.5337601078167118</v>
      </c>
      <c r="AQ21" s="186" t="s">
        <v>72</v>
      </c>
      <c r="AR21" s="186">
        <v>54</v>
      </c>
      <c r="AS21" s="186">
        <v>545</v>
      </c>
      <c r="AT21" s="199">
        <f t="shared" si="12"/>
        <v>9.9082568807339455E-2</v>
      </c>
      <c r="AU21" s="256">
        <f t="shared" si="13"/>
        <v>0.9642857142857143</v>
      </c>
      <c r="AV21" s="63">
        <f t="shared" si="14"/>
        <v>1.491546526867628</v>
      </c>
      <c r="AY21" s="186" t="s">
        <v>72</v>
      </c>
      <c r="AZ21" s="186">
        <v>6</v>
      </c>
      <c r="BA21" s="186">
        <v>5</v>
      </c>
      <c r="BB21" s="186">
        <v>2</v>
      </c>
      <c r="BC21" s="186">
        <v>5</v>
      </c>
      <c r="BD21" s="186">
        <v>5</v>
      </c>
      <c r="BE21" s="186">
        <v>4</v>
      </c>
      <c r="BF21" s="186">
        <v>5</v>
      </c>
      <c r="BG21" s="186">
        <v>4</v>
      </c>
      <c r="BH21" s="129">
        <f t="shared" si="15"/>
        <v>36</v>
      </c>
      <c r="BI21" s="11">
        <v>392</v>
      </c>
      <c r="BJ21" s="256">
        <f t="shared" si="16"/>
        <v>9.1836734693877556E-2</v>
      </c>
    </row>
    <row r="22" spans="2:66" x14ac:dyDescent="0.25">
      <c r="B22" s="11" t="s">
        <v>171</v>
      </c>
      <c r="G22" s="11" t="s">
        <v>220</v>
      </c>
      <c r="L22" s="11" t="s">
        <v>221</v>
      </c>
      <c r="Q22" s="11" t="s">
        <v>222</v>
      </c>
      <c r="V22" s="11" t="s">
        <v>223</v>
      </c>
      <c r="AE22" s="186" t="s">
        <v>73</v>
      </c>
      <c r="AF22" s="186">
        <v>143</v>
      </c>
      <c r="AG22" s="186">
        <v>807</v>
      </c>
      <c r="AH22" s="123">
        <f t="shared" si="8"/>
        <v>0.17719950433705081</v>
      </c>
      <c r="AJ22" s="186" t="s">
        <v>73</v>
      </c>
      <c r="AK22" s="186">
        <v>51</v>
      </c>
      <c r="AL22" s="256">
        <f t="shared" si="9"/>
        <v>0.35664335664335667</v>
      </c>
      <c r="AM22" s="186">
        <v>760</v>
      </c>
      <c r="AN22" s="256">
        <f t="shared" si="10"/>
        <v>6.7105263157894737E-2</v>
      </c>
      <c r="AO22" s="278">
        <f t="shared" si="11"/>
        <v>0.37869893264630106</v>
      </c>
      <c r="AQ22" s="186" t="s">
        <v>73</v>
      </c>
      <c r="AR22" s="186">
        <v>51</v>
      </c>
      <c r="AS22" s="186">
        <v>738</v>
      </c>
      <c r="AT22" s="199">
        <f t="shared" si="12"/>
        <v>6.910569105691057E-2</v>
      </c>
      <c r="AU22" s="256">
        <f t="shared" si="13"/>
        <v>0.35664335664335667</v>
      </c>
      <c r="AV22" s="63">
        <f t="shared" si="14"/>
        <v>0.38998806071976805</v>
      </c>
      <c r="AY22" s="186" t="s">
        <v>73</v>
      </c>
      <c r="AZ22" s="186">
        <v>0</v>
      </c>
      <c r="BA22" s="186">
        <v>0</v>
      </c>
      <c r="BB22" s="186">
        <v>2</v>
      </c>
      <c r="BC22" s="186">
        <v>2</v>
      </c>
      <c r="BD22" s="186">
        <v>1</v>
      </c>
      <c r="BE22" s="186">
        <v>3</v>
      </c>
      <c r="BF22" s="186">
        <v>10</v>
      </c>
      <c r="BG22" s="186">
        <v>12</v>
      </c>
      <c r="BH22" s="129">
        <f t="shared" si="15"/>
        <v>30</v>
      </c>
      <c r="BI22" s="11">
        <v>394</v>
      </c>
      <c r="BJ22" s="256">
        <f t="shared" si="16"/>
        <v>7.6142131979695438E-2</v>
      </c>
    </row>
    <row r="23" spans="2:66" x14ac:dyDescent="0.25">
      <c r="AE23" s="186" t="s">
        <v>23</v>
      </c>
      <c r="AF23" s="186">
        <v>1981</v>
      </c>
      <c r="AG23" s="186">
        <v>42631</v>
      </c>
      <c r="AH23" s="123">
        <f t="shared" si="8"/>
        <v>4.646853228871009E-2</v>
      </c>
      <c r="AJ23" s="186" t="s">
        <v>23</v>
      </c>
      <c r="AK23" s="186">
        <v>2383</v>
      </c>
      <c r="AL23" s="256">
        <f t="shared" si="9"/>
        <v>1.2029278142352346</v>
      </c>
      <c r="AM23" s="186">
        <v>41689</v>
      </c>
      <c r="AN23" s="256">
        <f t="shared" si="10"/>
        <v>5.7161361510230518E-2</v>
      </c>
      <c r="AO23" s="278">
        <f t="shared" si="11"/>
        <v>1.2301090371239967</v>
      </c>
      <c r="AQ23" s="186" t="s">
        <v>23</v>
      </c>
      <c r="AR23" s="186">
        <v>2383</v>
      </c>
      <c r="AS23" s="186">
        <v>40920</v>
      </c>
      <c r="AT23" s="199">
        <f t="shared" si="12"/>
        <v>5.8235581622678396E-2</v>
      </c>
      <c r="AU23" s="256">
        <f t="shared" si="13"/>
        <v>1.2029278142352346</v>
      </c>
      <c r="AV23" s="63">
        <f t="shared" si="14"/>
        <v>1.25322618887249</v>
      </c>
      <c r="AY23" s="186" t="s">
        <v>23</v>
      </c>
      <c r="AZ23" s="186">
        <v>147</v>
      </c>
      <c r="BA23" s="186">
        <v>139</v>
      </c>
      <c r="BB23" s="186">
        <v>150</v>
      </c>
      <c r="BC23" s="186">
        <v>216</v>
      </c>
      <c r="BD23" s="186">
        <v>229</v>
      </c>
      <c r="BE23" s="186">
        <v>196</v>
      </c>
      <c r="BF23" s="186">
        <v>213</v>
      </c>
      <c r="BG23" s="186">
        <v>224</v>
      </c>
      <c r="BH23" s="129">
        <f t="shared" si="15"/>
        <v>1514</v>
      </c>
      <c r="BI23" s="11">
        <v>25911</v>
      </c>
      <c r="BJ23" s="256">
        <f t="shared" si="16"/>
        <v>5.8430782293234534E-2</v>
      </c>
    </row>
    <row r="24" spans="2:66" x14ac:dyDescent="0.25">
      <c r="B24" s="20" t="s">
        <v>34</v>
      </c>
      <c r="C24" s="20" t="s">
        <v>2</v>
      </c>
      <c r="D24" s="20" t="s">
        <v>3</v>
      </c>
      <c r="E24" s="20" t="s">
        <v>142</v>
      </c>
      <c r="G24" s="20" t="s">
        <v>34</v>
      </c>
      <c r="H24" s="20" t="s">
        <v>50</v>
      </c>
      <c r="I24" s="20" t="s">
        <v>51</v>
      </c>
      <c r="J24" s="20" t="s">
        <v>142</v>
      </c>
      <c r="L24" s="20" t="s">
        <v>34</v>
      </c>
      <c r="M24" s="20" t="s">
        <v>50</v>
      </c>
      <c r="N24" s="20" t="s">
        <v>51</v>
      </c>
      <c r="O24" s="20" t="s">
        <v>142</v>
      </c>
      <c r="Q24" s="20" t="s">
        <v>34</v>
      </c>
      <c r="R24" s="20" t="s">
        <v>180</v>
      </c>
      <c r="S24" s="20" t="s">
        <v>224</v>
      </c>
      <c r="T24" s="20" t="s">
        <v>142</v>
      </c>
      <c r="V24" s="20" t="s">
        <v>34</v>
      </c>
      <c r="W24" s="20" t="s">
        <v>10</v>
      </c>
      <c r="X24" s="20" t="s">
        <v>11</v>
      </c>
      <c r="Y24" s="20" t="s">
        <v>142</v>
      </c>
      <c r="AE24" s="186" t="s">
        <v>84</v>
      </c>
      <c r="AF24" s="186">
        <v>91</v>
      </c>
      <c r="AG24" s="186">
        <v>736</v>
      </c>
      <c r="AH24" s="123">
        <f t="shared" si="8"/>
        <v>0.12364130434782608</v>
      </c>
      <c r="AJ24" s="186" t="s">
        <v>84</v>
      </c>
      <c r="AK24" s="186">
        <v>142</v>
      </c>
      <c r="AL24" s="256">
        <f t="shared" si="9"/>
        <v>1.5604395604395604</v>
      </c>
      <c r="AM24" s="186">
        <v>1191</v>
      </c>
      <c r="AN24" s="256">
        <f t="shared" si="10"/>
        <v>0.11922753988245172</v>
      </c>
      <c r="AO24" s="278">
        <f t="shared" si="11"/>
        <v>0.96430186102730187</v>
      </c>
      <c r="AQ24" s="186" t="s">
        <v>84</v>
      </c>
      <c r="AR24" s="186">
        <v>120</v>
      </c>
      <c r="AS24" s="186">
        <v>1215</v>
      </c>
      <c r="AT24" s="199">
        <f t="shared" si="12"/>
        <v>9.8765432098765427E-2</v>
      </c>
      <c r="AU24" s="256">
        <f t="shared" si="13"/>
        <v>1.3186813186813187</v>
      </c>
      <c r="AV24" s="63">
        <f t="shared" si="14"/>
        <v>0.7988061321394655</v>
      </c>
      <c r="AY24" s="186" t="s">
        <v>84</v>
      </c>
      <c r="AZ24" s="186">
        <v>17</v>
      </c>
      <c r="BA24" s="186">
        <v>5</v>
      </c>
      <c r="BB24" s="186">
        <v>7</v>
      </c>
      <c r="BC24" s="186">
        <v>5</v>
      </c>
      <c r="BD24" s="186">
        <v>7</v>
      </c>
      <c r="BE24" s="186">
        <v>6</v>
      </c>
      <c r="BF24" s="186">
        <v>6</v>
      </c>
      <c r="BG24" s="186">
        <v>5</v>
      </c>
      <c r="BH24" s="129">
        <f t="shared" si="15"/>
        <v>58</v>
      </c>
      <c r="BI24" s="11">
        <v>912</v>
      </c>
      <c r="BJ24" s="256">
        <f t="shared" si="16"/>
        <v>6.3596491228070179E-2</v>
      </c>
    </row>
    <row r="25" spans="2:66" x14ac:dyDescent="0.25">
      <c r="B25" s="23" t="s">
        <v>13</v>
      </c>
      <c r="C25" s="27">
        <v>1.0141025641025641</v>
      </c>
      <c r="D25" s="27">
        <v>1.0413043478260868</v>
      </c>
      <c r="E25" s="27">
        <f>VLOOKUP(B25,$B$43:$D$75,$D$42,FALSE)</f>
        <v>0.27845804084237397</v>
      </c>
      <c r="G25" s="26" t="s">
        <v>13</v>
      </c>
      <c r="H25" s="27">
        <v>1.0795361368162117</v>
      </c>
      <c r="I25" s="27">
        <v>0.89047233469051557</v>
      </c>
      <c r="J25" s="31">
        <f>VLOOKUP(G25,$B$43:$D$78,$D$42,FALSE)</f>
        <v>0.27845804084237397</v>
      </c>
      <c r="L25" s="184" t="s">
        <v>13</v>
      </c>
      <c r="M25" s="27">
        <v>1.1548872180451129</v>
      </c>
      <c r="N25" s="27">
        <v>0.91265100027817903</v>
      </c>
      <c r="O25" s="27">
        <f>VLOOKUP(L25,$B$43:$D$78,$D$42,FALSE)</f>
        <v>0.27845804084237397</v>
      </c>
      <c r="Q25" s="26" t="s">
        <v>13</v>
      </c>
      <c r="R25" s="27">
        <v>1.1650912288415036</v>
      </c>
      <c r="S25" s="27">
        <v>1.0566188197767146</v>
      </c>
      <c r="T25" s="27">
        <f>VLOOKUP(Q25,$B$43:$D$78,$D$42,FALSE)</f>
        <v>0.27845804084237397</v>
      </c>
      <c r="V25" s="14" t="s">
        <v>13</v>
      </c>
      <c r="W25" s="27">
        <v>1.0821615480290658</v>
      </c>
      <c r="X25" s="27">
        <v>1.0505050505050506</v>
      </c>
      <c r="Y25" s="27">
        <f>VLOOKUP(V25,$B$43:$D$78,$D$42,FALSE)</f>
        <v>0.27845804084237397</v>
      </c>
      <c r="AE25" s="186" t="s">
        <v>20</v>
      </c>
      <c r="AF25" s="186">
        <v>2557</v>
      </c>
      <c r="AG25" s="186">
        <v>20235</v>
      </c>
      <c r="AH25" s="123">
        <f t="shared" si="8"/>
        <v>0.12636520879663948</v>
      </c>
      <c r="AJ25" s="186" t="s">
        <v>20</v>
      </c>
      <c r="AK25" s="186">
        <v>2593</v>
      </c>
      <c r="AL25" s="256">
        <f t="shared" si="9"/>
        <v>1.01407899882675</v>
      </c>
      <c r="AM25" s="186">
        <v>18090</v>
      </c>
      <c r="AN25" s="256">
        <f t="shared" si="10"/>
        <v>0.143338861249309</v>
      </c>
      <c r="AO25" s="278">
        <f t="shared" si="11"/>
        <v>1.1343221968634212</v>
      </c>
      <c r="AQ25" s="186" t="s">
        <v>20</v>
      </c>
      <c r="AR25" s="186">
        <v>2479</v>
      </c>
      <c r="AS25" s="186">
        <v>17793</v>
      </c>
      <c r="AT25" s="199">
        <f t="shared" si="12"/>
        <v>0.13932445343674479</v>
      </c>
      <c r="AU25" s="256">
        <f t="shared" si="13"/>
        <v>0.96949550254204142</v>
      </c>
      <c r="AV25" s="63">
        <f t="shared" si="14"/>
        <v>1.1025538972594959</v>
      </c>
      <c r="AY25" s="186" t="s">
        <v>20</v>
      </c>
      <c r="AZ25" s="186">
        <v>113</v>
      </c>
      <c r="BA25" s="186">
        <v>189</v>
      </c>
      <c r="BB25" s="186">
        <v>190</v>
      </c>
      <c r="BC25" s="186">
        <v>182</v>
      </c>
      <c r="BD25" s="186">
        <v>191</v>
      </c>
      <c r="BE25" s="186">
        <v>206</v>
      </c>
      <c r="BF25" s="186">
        <v>239</v>
      </c>
      <c r="BG25" s="186">
        <v>223</v>
      </c>
      <c r="BH25" s="129">
        <f t="shared" si="15"/>
        <v>1533</v>
      </c>
      <c r="BI25" s="11">
        <v>11184</v>
      </c>
      <c r="BJ25" s="256">
        <f t="shared" si="16"/>
        <v>0.13707081545064378</v>
      </c>
    </row>
    <row r="26" spans="2:66" x14ac:dyDescent="0.25">
      <c r="B26" s="23" t="s">
        <v>15</v>
      </c>
      <c r="C26" s="27">
        <v>1.0336956521739129</v>
      </c>
      <c r="D26" s="27">
        <v>1.0184782608695653</v>
      </c>
      <c r="E26" s="27">
        <f t="shared" ref="E26:E37" si="19">VLOOKUP(B26,$B$43:$D$75,$D$42,FALSE)</f>
        <v>0.1300853541799617</v>
      </c>
      <c r="G26" s="26" t="s">
        <v>15</v>
      </c>
      <c r="H26" s="27">
        <v>1.1192973896072214</v>
      </c>
      <c r="I26" s="27">
        <v>1.0565202336886947</v>
      </c>
      <c r="J26" s="31">
        <f t="shared" ref="J26:J39" si="20">VLOOKUP(G26,$B$43:$D$78,$D$42,FALSE)</f>
        <v>0.1300853541799617</v>
      </c>
      <c r="L26" s="184" t="s">
        <v>15</v>
      </c>
      <c r="M26" s="27">
        <v>0.93709150326797386</v>
      </c>
      <c r="N26" s="27">
        <v>1.0811367655400219</v>
      </c>
      <c r="O26" s="27">
        <f t="shared" ref="O26:O39" si="21">VLOOKUP(L26,$B$43:$D$78,$D$42,FALSE)</f>
        <v>0.1300853541799617</v>
      </c>
      <c r="Q26" s="26" t="s">
        <v>15</v>
      </c>
      <c r="R26" s="27">
        <v>0.99123376623376624</v>
      </c>
      <c r="S26" s="27">
        <v>1.1874756903928432</v>
      </c>
      <c r="T26" s="27">
        <f t="shared" ref="T26:T39" si="22">VLOOKUP(Q26,$B$43:$D$78,$D$42,FALSE)</f>
        <v>0.1300853541799617</v>
      </c>
      <c r="V26" s="14" t="s">
        <v>14</v>
      </c>
      <c r="W26" s="27">
        <v>0.7338342058354268</v>
      </c>
      <c r="X26" s="27">
        <v>1</v>
      </c>
      <c r="Y26" s="27">
        <f t="shared" ref="Y26:Y39" si="23">VLOOKUP(V26,$B$43:$D$78,$D$42,FALSE)</f>
        <v>0.12932753669432034</v>
      </c>
      <c r="AE26" s="186" t="s">
        <v>74</v>
      </c>
      <c r="AF26" s="186">
        <v>263</v>
      </c>
      <c r="AG26" s="186">
        <v>8122</v>
      </c>
      <c r="AH26" s="123">
        <f t="shared" si="8"/>
        <v>3.2381186899778383E-2</v>
      </c>
      <c r="AJ26" s="186" t="s">
        <v>74</v>
      </c>
      <c r="AK26" s="186">
        <v>258</v>
      </c>
      <c r="AL26" s="256">
        <f t="shared" si="9"/>
        <v>0.98098859315589348</v>
      </c>
      <c r="AM26" s="186">
        <v>8662</v>
      </c>
      <c r="AN26" s="256">
        <f t="shared" si="10"/>
        <v>2.9785268990995151E-2</v>
      </c>
      <c r="AO26" s="278">
        <f t="shared" si="11"/>
        <v>0.91983252754700606</v>
      </c>
      <c r="AQ26" s="186" t="s">
        <v>74</v>
      </c>
      <c r="AR26" s="186">
        <v>291</v>
      </c>
      <c r="AS26" s="186">
        <v>8232</v>
      </c>
      <c r="AT26" s="199">
        <f t="shared" si="12"/>
        <v>3.5349854227405247E-2</v>
      </c>
      <c r="AU26" s="256">
        <f t="shared" si="13"/>
        <v>1.1064638783269962</v>
      </c>
      <c r="AV26" s="63">
        <f t="shared" si="14"/>
        <v>1.0916787681938609</v>
      </c>
      <c r="AY26" s="186" t="s">
        <v>74</v>
      </c>
      <c r="AZ26" s="186">
        <v>30</v>
      </c>
      <c r="BA26" s="186">
        <v>30</v>
      </c>
      <c r="BB26" s="186">
        <v>18</v>
      </c>
      <c r="BC26" s="186">
        <v>23</v>
      </c>
      <c r="BD26" s="186">
        <v>25</v>
      </c>
      <c r="BE26" s="186">
        <v>28</v>
      </c>
      <c r="BF26" s="186">
        <v>24</v>
      </c>
      <c r="BG26" s="186">
        <v>29</v>
      </c>
      <c r="BH26" s="129">
        <f t="shared" si="15"/>
        <v>207</v>
      </c>
      <c r="BI26" s="11">
        <v>4898</v>
      </c>
      <c r="BJ26" s="256">
        <f t="shared" si="16"/>
        <v>4.2262147815434872E-2</v>
      </c>
    </row>
    <row r="27" spans="2:66" x14ac:dyDescent="0.25">
      <c r="B27" s="23" t="s">
        <v>16</v>
      </c>
      <c r="C27" s="27">
        <v>1.0294117647058825</v>
      </c>
      <c r="D27" s="27">
        <v>1.0180851063829788</v>
      </c>
      <c r="E27" s="27">
        <f t="shared" si="19"/>
        <v>3.579690491384812E-2</v>
      </c>
      <c r="G27" s="26" t="s">
        <v>14</v>
      </c>
      <c r="H27" s="27">
        <v>0.74693669162695708</v>
      </c>
      <c r="I27" s="27">
        <v>0.79172042088871131</v>
      </c>
      <c r="J27" s="31">
        <f t="shared" si="20"/>
        <v>0.12932753669432034</v>
      </c>
      <c r="L27" s="184" t="s">
        <v>14</v>
      </c>
      <c r="M27" s="27">
        <v>0.68847058823529417</v>
      </c>
      <c r="N27" s="27">
        <v>0.82037285922473568</v>
      </c>
      <c r="O27" s="27">
        <f t="shared" si="21"/>
        <v>0.12932753669432034</v>
      </c>
      <c r="Q27" s="26" t="s">
        <v>14</v>
      </c>
      <c r="R27" s="27">
        <v>0.7385123127697385</v>
      </c>
      <c r="S27" s="27">
        <v>0.78834688346883464</v>
      </c>
      <c r="T27" s="27">
        <f t="shared" si="22"/>
        <v>0.12932753669432034</v>
      </c>
      <c r="V27" s="14" t="s">
        <v>15</v>
      </c>
      <c r="W27" s="27">
        <v>1.0895244662254977</v>
      </c>
      <c r="X27" s="27">
        <v>1.0075757575757576</v>
      </c>
      <c r="Y27" s="27">
        <f t="shared" si="23"/>
        <v>0.1300853541799617</v>
      </c>
      <c r="AE27" s="186" t="s">
        <v>21</v>
      </c>
      <c r="AF27" s="186">
        <v>1151</v>
      </c>
      <c r="AG27" s="186">
        <v>21000</v>
      </c>
      <c r="AH27" s="123">
        <f t="shared" si="8"/>
        <v>5.4809523809523808E-2</v>
      </c>
      <c r="AJ27" s="186" t="s">
        <v>21</v>
      </c>
      <c r="AK27" s="186">
        <v>1183</v>
      </c>
      <c r="AL27" s="256">
        <f t="shared" si="9"/>
        <v>1.0278019113814074</v>
      </c>
      <c r="AM27" s="186">
        <v>21874</v>
      </c>
      <c r="AN27" s="256">
        <f t="shared" si="10"/>
        <v>5.4082472341592761E-2</v>
      </c>
      <c r="AO27" s="278">
        <f t="shared" si="11"/>
        <v>0.98673494280925111</v>
      </c>
      <c r="AQ27" s="186" t="s">
        <v>21</v>
      </c>
      <c r="AR27" s="186">
        <v>1222</v>
      </c>
      <c r="AS27" s="186">
        <v>21780</v>
      </c>
      <c r="AT27" s="199">
        <f t="shared" si="12"/>
        <v>5.610651974288338E-2</v>
      </c>
      <c r="AU27" s="256">
        <f t="shared" si="13"/>
        <v>1.0616854908774978</v>
      </c>
      <c r="AV27" s="63">
        <f t="shared" si="14"/>
        <v>1.0236636964383588</v>
      </c>
      <c r="AY27" s="186" t="s">
        <v>21</v>
      </c>
      <c r="AZ27" s="186">
        <v>86</v>
      </c>
      <c r="BA27" s="186">
        <v>112</v>
      </c>
      <c r="BB27" s="186">
        <v>83</v>
      </c>
      <c r="BC27" s="186">
        <v>80</v>
      </c>
      <c r="BD27" s="186">
        <v>77</v>
      </c>
      <c r="BE27" s="186">
        <v>82</v>
      </c>
      <c r="BF27" s="186">
        <v>100</v>
      </c>
      <c r="BG27" s="186">
        <v>95</v>
      </c>
      <c r="BH27" s="129">
        <f t="shared" si="15"/>
        <v>715</v>
      </c>
      <c r="BI27" s="11">
        <v>12736</v>
      </c>
      <c r="BJ27" s="256">
        <f t="shared" si="16"/>
        <v>5.6140075376884424E-2</v>
      </c>
    </row>
    <row r="28" spans="2:66" x14ac:dyDescent="0.25">
      <c r="B28" s="23" t="s">
        <v>17</v>
      </c>
      <c r="C28" s="27">
        <v>1.0313953488372094</v>
      </c>
      <c r="D28" s="27">
        <v>1.0777777777777777</v>
      </c>
      <c r="E28" s="27">
        <f t="shared" si="19"/>
        <v>4.5289566049776644E-2</v>
      </c>
      <c r="G28" s="26" t="s">
        <v>20</v>
      </c>
      <c r="H28" s="27">
        <v>1.2317343173431734</v>
      </c>
      <c r="I28" s="27">
        <v>1.066179150348326</v>
      </c>
      <c r="J28" s="31">
        <f t="shared" si="20"/>
        <v>5.1711072112316528E-2</v>
      </c>
      <c r="L28" s="184" t="s">
        <v>20</v>
      </c>
      <c r="M28" s="27">
        <v>0.88447270800211975</v>
      </c>
      <c r="N28" s="27">
        <v>0.99055378387339243</v>
      </c>
      <c r="O28" s="27">
        <f t="shared" si="21"/>
        <v>5.1711072112316528E-2</v>
      </c>
      <c r="Q28" s="26" t="s">
        <v>20</v>
      </c>
      <c r="R28" s="27">
        <v>0.78883495145631066</v>
      </c>
      <c r="S28" s="27">
        <v>1.2373096446700507</v>
      </c>
      <c r="T28" s="27">
        <f t="shared" si="22"/>
        <v>5.1711072112316528E-2</v>
      </c>
      <c r="V28" s="14" t="s">
        <v>16</v>
      </c>
      <c r="W28" s="27">
        <v>0.95637576110771105</v>
      </c>
      <c r="X28" s="27">
        <v>1.0097087378640777</v>
      </c>
      <c r="Y28" s="27">
        <f t="shared" si="23"/>
        <v>3.579690491384812E-2</v>
      </c>
      <c r="AE28" s="186" t="s">
        <v>14</v>
      </c>
      <c r="AF28" s="186">
        <v>9505</v>
      </c>
      <c r="AG28" s="186">
        <v>124892</v>
      </c>
      <c r="AH28" s="123">
        <f t="shared" si="8"/>
        <v>7.6105755372641956E-2</v>
      </c>
      <c r="AJ28" s="186" t="s">
        <v>14</v>
      </c>
      <c r="AK28" s="186">
        <v>6485</v>
      </c>
      <c r="AL28" s="256">
        <f t="shared" si="9"/>
        <v>0.68227248816412411</v>
      </c>
      <c r="AM28" s="186">
        <v>98767</v>
      </c>
      <c r="AN28" s="256">
        <f t="shared" si="10"/>
        <v>6.5659582654125359E-2</v>
      </c>
      <c r="AO28" s="278">
        <f t="shared" si="11"/>
        <v>0.86274135684787223</v>
      </c>
      <c r="AQ28" s="186" t="s">
        <v>14</v>
      </c>
      <c r="AR28" s="186">
        <v>6485</v>
      </c>
      <c r="AS28" s="186">
        <v>97279</v>
      </c>
      <c r="AT28" s="199">
        <f t="shared" si="12"/>
        <v>6.6663925410417463E-2</v>
      </c>
      <c r="AU28" s="256">
        <f t="shared" si="13"/>
        <v>0.68227248816412411</v>
      </c>
      <c r="AV28" s="63">
        <f t="shared" si="14"/>
        <v>0.87593802970624501</v>
      </c>
      <c r="AY28" s="186" t="s">
        <v>14</v>
      </c>
      <c r="AZ28" s="186">
        <v>715</v>
      </c>
      <c r="BA28" s="186">
        <v>586</v>
      </c>
      <c r="BB28" s="186">
        <v>707</v>
      </c>
      <c r="BC28" s="186">
        <v>608</v>
      </c>
      <c r="BD28" s="186">
        <v>653</v>
      </c>
      <c r="BE28" s="186">
        <v>600</v>
      </c>
      <c r="BF28" s="186">
        <v>440</v>
      </c>
      <c r="BG28" s="186">
        <v>417</v>
      </c>
      <c r="BH28" s="129">
        <f t="shared" si="15"/>
        <v>4726</v>
      </c>
      <c r="BI28" s="11">
        <v>65953</v>
      </c>
      <c r="BJ28" s="256">
        <f t="shared" si="16"/>
        <v>7.1657089139235519E-2</v>
      </c>
    </row>
    <row r="29" spans="2:66" x14ac:dyDescent="0.25">
      <c r="B29" s="23" t="s">
        <v>14</v>
      </c>
      <c r="C29" s="27">
        <v>1.0402439024390244</v>
      </c>
      <c r="D29" s="27">
        <v>1.012087912087912</v>
      </c>
      <c r="E29" s="27">
        <f t="shared" si="19"/>
        <v>0.12932753669432034</v>
      </c>
      <c r="G29" s="26" t="s">
        <v>17</v>
      </c>
      <c r="H29" s="27">
        <v>0.68460764587525147</v>
      </c>
      <c r="I29" s="27">
        <v>0.54699358693351008</v>
      </c>
      <c r="J29" s="31">
        <f t="shared" si="20"/>
        <v>4.5289566049776644E-2</v>
      </c>
      <c r="L29" s="184" t="s">
        <v>17</v>
      </c>
      <c r="M29" s="27">
        <v>0.83960518198642808</v>
      </c>
      <c r="N29" s="27">
        <v>0.7499975377138326</v>
      </c>
      <c r="O29" s="27">
        <f t="shared" si="21"/>
        <v>4.5289566049776644E-2</v>
      </c>
      <c r="Q29" s="26" t="s">
        <v>17</v>
      </c>
      <c r="R29" s="27">
        <v>0.92669584245076586</v>
      </c>
      <c r="S29" s="27">
        <v>1.1682758620689655</v>
      </c>
      <c r="T29" s="27">
        <f t="shared" si="22"/>
        <v>4.5289566049776644E-2</v>
      </c>
      <c r="V29" s="14" t="s">
        <v>17</v>
      </c>
      <c r="W29" s="27">
        <v>0.7002010965569091</v>
      </c>
      <c r="X29" s="27">
        <v>0.98701298701298701</v>
      </c>
      <c r="Y29" s="27">
        <f t="shared" si="23"/>
        <v>4.5289566049776644E-2</v>
      </c>
      <c r="AE29" s="186" t="s">
        <v>17</v>
      </c>
      <c r="AF29" s="186">
        <v>2345</v>
      </c>
      <c r="AG29" s="186">
        <v>52746</v>
      </c>
      <c r="AH29" s="123">
        <f t="shared" si="8"/>
        <v>4.4458347552421035E-2</v>
      </c>
      <c r="AJ29" s="186" t="s">
        <v>17</v>
      </c>
      <c r="AK29" s="186">
        <v>2271</v>
      </c>
      <c r="AL29" s="256">
        <f t="shared" si="9"/>
        <v>0.96844349680170572</v>
      </c>
      <c r="AM29" s="186">
        <v>54599</v>
      </c>
      <c r="AN29" s="256">
        <f t="shared" si="10"/>
        <v>4.1594168391362478E-2</v>
      </c>
      <c r="AO29" s="278">
        <f t="shared" si="11"/>
        <v>0.93557612194917072</v>
      </c>
      <c r="AQ29" s="186" t="s">
        <v>17</v>
      </c>
      <c r="AR29" s="186">
        <v>2293</v>
      </c>
      <c r="AS29" s="186">
        <v>52540</v>
      </c>
      <c r="AT29" s="199">
        <f t="shared" si="12"/>
        <v>4.3642938713361251E-2</v>
      </c>
      <c r="AU29" s="256">
        <f t="shared" si="13"/>
        <v>0.97782515991471219</v>
      </c>
      <c r="AV29" s="63">
        <f t="shared" si="14"/>
        <v>0.98165903853942549</v>
      </c>
      <c r="AY29" s="186" t="s">
        <v>17</v>
      </c>
      <c r="AZ29" s="186">
        <v>155</v>
      </c>
      <c r="BA29" s="186">
        <v>131</v>
      </c>
      <c r="BB29" s="186">
        <v>220</v>
      </c>
      <c r="BC29" s="186">
        <v>197</v>
      </c>
      <c r="BD29" s="186">
        <v>209</v>
      </c>
      <c r="BE29" s="186">
        <v>215</v>
      </c>
      <c r="BF29" s="186">
        <v>289</v>
      </c>
      <c r="BG29" s="186">
        <v>293</v>
      </c>
      <c r="BH29" s="129">
        <f t="shared" si="15"/>
        <v>1709</v>
      </c>
      <c r="BI29" s="11">
        <v>32545</v>
      </c>
      <c r="BJ29" s="256">
        <f t="shared" si="16"/>
        <v>5.2511906590874173E-2</v>
      </c>
    </row>
    <row r="30" spans="2:66" x14ac:dyDescent="0.25">
      <c r="B30" s="23" t="s">
        <v>18</v>
      </c>
      <c r="C30" s="27">
        <v>1.0563829787234043</v>
      </c>
      <c r="D30" s="27">
        <v>1.0421052631578949</v>
      </c>
      <c r="E30" s="27">
        <f t="shared" si="19"/>
        <v>3.7452137843012122E-2</v>
      </c>
      <c r="G30" s="26" t="s">
        <v>23</v>
      </c>
      <c r="H30" s="27">
        <v>0.82539682539682535</v>
      </c>
      <c r="I30" s="27">
        <v>0.72150764806596945</v>
      </c>
      <c r="J30" s="31">
        <f t="shared" si="20"/>
        <v>4.752313337587747E-2</v>
      </c>
      <c r="L30" s="184" t="s">
        <v>23</v>
      </c>
      <c r="M30" s="27">
        <v>1.0472501936483347</v>
      </c>
      <c r="N30" s="27">
        <v>1.0446290161081739</v>
      </c>
      <c r="O30" s="27">
        <f t="shared" si="21"/>
        <v>4.752313337587747E-2</v>
      </c>
      <c r="Q30" s="26" t="s">
        <v>23</v>
      </c>
      <c r="R30" s="27">
        <v>1.1023192360163712</v>
      </c>
      <c r="S30" s="27">
        <v>0.80558325024925226</v>
      </c>
      <c r="T30" s="27">
        <f t="shared" si="22"/>
        <v>4.752313337587747E-2</v>
      </c>
      <c r="V30" s="14" t="s">
        <v>18</v>
      </c>
      <c r="W30" s="27">
        <v>1.0300517313142925</v>
      </c>
      <c r="X30" s="27">
        <v>0.9882352941176471</v>
      </c>
      <c r="Y30" s="27">
        <f t="shared" si="23"/>
        <v>3.7452137843012122E-2</v>
      </c>
      <c r="AE30" s="186" t="s">
        <v>25</v>
      </c>
      <c r="AF30" s="186">
        <v>1957</v>
      </c>
      <c r="AG30" s="186">
        <v>31981</v>
      </c>
      <c r="AH30" s="123">
        <f t="shared" si="8"/>
        <v>6.1192583096213379E-2</v>
      </c>
      <c r="AJ30" s="186" t="s">
        <v>25</v>
      </c>
      <c r="AK30" s="186">
        <v>2312</v>
      </c>
      <c r="AL30" s="256">
        <f t="shared" si="9"/>
        <v>1.1814001021972407</v>
      </c>
      <c r="AM30" s="186">
        <v>33539</v>
      </c>
      <c r="AN30" s="256">
        <f t="shared" si="10"/>
        <v>6.8934673067175531E-2</v>
      </c>
      <c r="AO30" s="278">
        <f t="shared" si="11"/>
        <v>1.1265200712117223</v>
      </c>
      <c r="AQ30" s="186" t="s">
        <v>25</v>
      </c>
      <c r="AR30" s="186">
        <v>2381</v>
      </c>
      <c r="AS30" s="186">
        <v>32971</v>
      </c>
      <c r="AT30" s="199">
        <f t="shared" si="12"/>
        <v>7.2214976797791999E-2</v>
      </c>
      <c r="AU30" s="256">
        <f t="shared" si="13"/>
        <v>1.2166581502299438</v>
      </c>
      <c r="AV30" s="63">
        <f t="shared" si="14"/>
        <v>1.1801263019776116</v>
      </c>
      <c r="AY30" s="186" t="s">
        <v>25</v>
      </c>
      <c r="AZ30" s="186">
        <v>115</v>
      </c>
      <c r="BA30" s="186">
        <v>122</v>
      </c>
      <c r="BB30" s="186">
        <v>166</v>
      </c>
      <c r="BC30" s="186">
        <v>212</v>
      </c>
      <c r="BD30" s="186">
        <v>224</v>
      </c>
      <c r="BE30" s="186">
        <v>222</v>
      </c>
      <c r="BF30" s="186">
        <v>200</v>
      </c>
      <c r="BG30" s="186">
        <v>202</v>
      </c>
      <c r="BH30" s="129">
        <f t="shared" si="15"/>
        <v>1463</v>
      </c>
      <c r="BI30" s="11">
        <v>21429</v>
      </c>
      <c r="BJ30" s="256">
        <f t="shared" si="16"/>
        <v>6.8271967893975452E-2</v>
      </c>
    </row>
    <row r="31" spans="2:66" x14ac:dyDescent="0.25">
      <c r="B31" s="23" t="s">
        <v>26</v>
      </c>
      <c r="C31" s="27">
        <v>1.06</v>
      </c>
      <c r="D31" s="27">
        <v>1.0804597701149425</v>
      </c>
      <c r="E31" s="27">
        <f t="shared" si="19"/>
        <v>2.1936821952776006E-2</v>
      </c>
      <c r="G31" s="26" t="s">
        <v>19</v>
      </c>
      <c r="H31" s="27">
        <v>1.0620467365028203</v>
      </c>
      <c r="I31" s="27">
        <v>0.95324055810241559</v>
      </c>
      <c r="J31" s="31">
        <f t="shared" si="20"/>
        <v>4.4451978302488829E-2</v>
      </c>
      <c r="L31" s="184" t="s">
        <v>19</v>
      </c>
      <c r="M31" s="27">
        <v>0.88219544846050868</v>
      </c>
      <c r="N31" s="27">
        <v>0.87708508091729165</v>
      </c>
      <c r="O31" s="27">
        <f t="shared" si="21"/>
        <v>4.4451978302488829E-2</v>
      </c>
      <c r="Q31" s="26" t="s">
        <v>19</v>
      </c>
      <c r="R31" s="27">
        <v>0.73385518590998045</v>
      </c>
      <c r="S31" s="27">
        <v>0.66725978647686834</v>
      </c>
      <c r="T31" s="27">
        <f t="shared" si="22"/>
        <v>4.4451978302488829E-2</v>
      </c>
      <c r="V31" s="14" t="s">
        <v>19</v>
      </c>
      <c r="W31" s="27">
        <v>1.0251136667241996</v>
      </c>
      <c r="X31" s="27">
        <v>0.95049504950495045</v>
      </c>
      <c r="Y31" s="27">
        <f t="shared" si="23"/>
        <v>4.4451978302488829E-2</v>
      </c>
      <c r="AE31" s="186" t="s">
        <v>75</v>
      </c>
      <c r="AF31" s="186">
        <v>52</v>
      </c>
      <c r="AG31" s="186">
        <v>358</v>
      </c>
      <c r="AH31" s="123">
        <f t="shared" si="8"/>
        <v>0.14525139664804471</v>
      </c>
      <c r="AJ31" s="186" t="s">
        <v>75</v>
      </c>
      <c r="AK31" s="186">
        <v>58</v>
      </c>
      <c r="AL31" s="256">
        <f t="shared" si="9"/>
        <v>1.1153846153846154</v>
      </c>
      <c r="AM31" s="186">
        <v>432</v>
      </c>
      <c r="AN31" s="256">
        <f t="shared" si="10"/>
        <v>0.13425925925925927</v>
      </c>
      <c r="AO31" s="278">
        <f t="shared" si="11"/>
        <v>0.92432336182336183</v>
      </c>
      <c r="AQ31" s="186" t="s">
        <v>75</v>
      </c>
      <c r="AR31" s="186">
        <v>58</v>
      </c>
      <c r="AS31" s="186">
        <v>456</v>
      </c>
      <c r="AT31" s="199">
        <f t="shared" si="12"/>
        <v>0.12719298245614036</v>
      </c>
      <c r="AU31" s="256">
        <f t="shared" si="13"/>
        <v>1.1153846153846154</v>
      </c>
      <c r="AV31" s="63">
        <f t="shared" si="14"/>
        <v>0.87567476383265852</v>
      </c>
      <c r="AY31" s="186" t="s">
        <v>75</v>
      </c>
      <c r="AZ31" s="186">
        <v>3</v>
      </c>
      <c r="BA31" s="186">
        <v>5</v>
      </c>
      <c r="BB31" s="186">
        <v>3</v>
      </c>
      <c r="BC31" s="186">
        <v>4</v>
      </c>
      <c r="BD31" s="186">
        <v>4</v>
      </c>
      <c r="BE31" s="186">
        <v>4</v>
      </c>
      <c r="BF31" s="186">
        <v>4</v>
      </c>
      <c r="BG31" s="186">
        <v>5</v>
      </c>
      <c r="BH31" s="129">
        <f t="shared" si="15"/>
        <v>32</v>
      </c>
      <c r="BI31" s="11">
        <v>339</v>
      </c>
      <c r="BJ31" s="256">
        <f t="shared" si="16"/>
        <v>9.4395280235988199E-2</v>
      </c>
    </row>
    <row r="32" spans="2:66" x14ac:dyDescent="0.25">
      <c r="B32" s="23" t="s">
        <v>19</v>
      </c>
      <c r="C32" s="27">
        <v>1.0942857142857143</v>
      </c>
      <c r="D32" s="27">
        <v>1.1349397590361445</v>
      </c>
      <c r="E32" s="27">
        <f t="shared" si="19"/>
        <v>4.4451978302488829E-2</v>
      </c>
      <c r="G32" s="26" t="s">
        <v>25</v>
      </c>
      <c r="H32" s="27">
        <v>0.85822959889349926</v>
      </c>
      <c r="I32" s="27">
        <v>0.78794949713877127</v>
      </c>
      <c r="J32" s="31">
        <f t="shared" si="20"/>
        <v>4.6107211231652838E-2</v>
      </c>
      <c r="L32" s="184" t="s">
        <v>25</v>
      </c>
      <c r="M32" s="27">
        <v>1.0114099429502852</v>
      </c>
      <c r="N32" s="27">
        <v>0.89604482983620426</v>
      </c>
      <c r="O32" s="27">
        <f t="shared" si="21"/>
        <v>4.6107211231652838E-2</v>
      </c>
      <c r="Q32" s="26" t="s">
        <v>25</v>
      </c>
      <c r="R32" s="27">
        <v>0.903387703889586</v>
      </c>
      <c r="S32" s="27">
        <v>0.95238095238095233</v>
      </c>
      <c r="T32" s="27">
        <f t="shared" si="22"/>
        <v>4.6107211231652838E-2</v>
      </c>
      <c r="V32" s="14" t="s">
        <v>20</v>
      </c>
      <c r="W32" s="27">
        <v>1.1184013975744993</v>
      </c>
      <c r="X32" s="27">
        <v>1.0084745762711864</v>
      </c>
      <c r="Y32" s="27">
        <f t="shared" si="23"/>
        <v>5.1711072112316528E-2</v>
      </c>
      <c r="AE32" s="186" t="s">
        <v>77</v>
      </c>
      <c r="AF32" s="186">
        <v>20</v>
      </c>
      <c r="AG32" s="186">
        <v>463</v>
      </c>
      <c r="AH32" s="123">
        <f t="shared" si="8"/>
        <v>4.3196544276457881E-2</v>
      </c>
      <c r="AJ32" s="186" t="s">
        <v>77</v>
      </c>
      <c r="AK32" s="186">
        <v>31</v>
      </c>
      <c r="AL32" s="256">
        <f t="shared" si="9"/>
        <v>1.55</v>
      </c>
      <c r="AM32" s="186">
        <v>394</v>
      </c>
      <c r="AN32" s="256">
        <f t="shared" si="10"/>
        <v>7.8680203045685279E-2</v>
      </c>
      <c r="AO32" s="278">
        <f t="shared" si="11"/>
        <v>1.8214467005076143</v>
      </c>
      <c r="AQ32" s="186" t="s">
        <v>77</v>
      </c>
      <c r="AR32" s="186">
        <v>35</v>
      </c>
      <c r="AS32" s="186">
        <v>401</v>
      </c>
      <c r="AT32" s="199">
        <f t="shared" si="12"/>
        <v>8.7281795511221949E-2</v>
      </c>
      <c r="AU32" s="256">
        <f t="shared" si="13"/>
        <v>1.75</v>
      </c>
      <c r="AV32" s="63">
        <f t="shared" si="14"/>
        <v>2.0205735660847881</v>
      </c>
      <c r="AY32" s="186" t="s">
        <v>77</v>
      </c>
      <c r="AZ32" s="186">
        <v>1</v>
      </c>
      <c r="BA32" s="186">
        <v>0</v>
      </c>
      <c r="BB32" s="186">
        <v>2</v>
      </c>
      <c r="BC32" s="186">
        <v>2</v>
      </c>
      <c r="BD32" s="186">
        <v>2</v>
      </c>
      <c r="BE32" s="186">
        <v>5</v>
      </c>
      <c r="BF32" s="186">
        <v>4</v>
      </c>
      <c r="BG32" s="186">
        <v>2</v>
      </c>
      <c r="BH32" s="129">
        <f t="shared" si="15"/>
        <v>18</v>
      </c>
      <c r="BI32" s="11">
        <v>185</v>
      </c>
      <c r="BJ32" s="256">
        <f t="shared" si="16"/>
        <v>9.7297297297297303E-2</v>
      </c>
    </row>
    <row r="33" spans="2:62" x14ac:dyDescent="0.25">
      <c r="B33" s="23" t="s">
        <v>23</v>
      </c>
      <c r="C33" s="27">
        <v>0.996</v>
      </c>
      <c r="D33" s="27">
        <v>1.0506024096385542</v>
      </c>
      <c r="E33" s="27">
        <f t="shared" si="19"/>
        <v>4.752313337587747E-2</v>
      </c>
      <c r="G33" s="26" t="s">
        <v>22</v>
      </c>
      <c r="H33" s="27">
        <v>0.89043209876543206</v>
      </c>
      <c r="I33" s="27">
        <v>0.78580254406709049</v>
      </c>
      <c r="J33" s="31">
        <f t="shared" si="20"/>
        <v>4.1021857051691132E-2</v>
      </c>
      <c r="L33" s="184" t="s">
        <v>22</v>
      </c>
      <c r="M33" s="27">
        <v>0.77867746288798922</v>
      </c>
      <c r="N33" s="27">
        <v>0.77646293259433896</v>
      </c>
      <c r="O33" s="27">
        <f t="shared" si="21"/>
        <v>4.1021857051691132E-2</v>
      </c>
      <c r="Q33" s="26" t="s">
        <v>22</v>
      </c>
      <c r="R33" s="27">
        <v>0.62935089369708375</v>
      </c>
      <c r="S33" s="27">
        <v>1.1455479452054795</v>
      </c>
      <c r="T33" s="27">
        <f t="shared" si="22"/>
        <v>4.1021857051691132E-2</v>
      </c>
      <c r="V33" s="14" t="s">
        <v>21</v>
      </c>
      <c r="W33" s="27">
        <v>0.89784864618687721</v>
      </c>
      <c r="X33" s="27">
        <v>1.173913043478261</v>
      </c>
      <c r="Y33" s="27">
        <f t="shared" si="23"/>
        <v>2.3592054881940012E-2</v>
      </c>
      <c r="AE33" s="186" t="s">
        <v>79</v>
      </c>
      <c r="AF33" s="186">
        <v>86</v>
      </c>
      <c r="AG33" s="186">
        <v>1234</v>
      </c>
      <c r="AH33" s="123">
        <f t="shared" si="8"/>
        <v>6.9692058346839544E-2</v>
      </c>
      <c r="AJ33" s="186" t="s">
        <v>79</v>
      </c>
      <c r="AK33" s="186">
        <v>98</v>
      </c>
      <c r="AL33" s="256">
        <f t="shared" si="9"/>
        <v>1.1395348837209303</v>
      </c>
      <c r="AM33" s="186">
        <v>1151</v>
      </c>
      <c r="AN33" s="256">
        <f t="shared" si="10"/>
        <v>8.5143353605560385E-2</v>
      </c>
      <c r="AO33" s="278">
        <f t="shared" si="11"/>
        <v>1.2217081203402502</v>
      </c>
      <c r="AQ33" s="186" t="s">
        <v>79</v>
      </c>
      <c r="AR33" s="186">
        <v>100</v>
      </c>
      <c r="AS33" s="186">
        <v>1110</v>
      </c>
      <c r="AT33" s="199">
        <f t="shared" si="12"/>
        <v>9.0090090090090086E-2</v>
      </c>
      <c r="AU33" s="256">
        <f t="shared" si="13"/>
        <v>1.1627906976744187</v>
      </c>
      <c r="AV33" s="63">
        <f t="shared" si="14"/>
        <v>1.2926880368740834</v>
      </c>
      <c r="AY33" s="186" t="s">
        <v>79</v>
      </c>
      <c r="AZ33" s="186">
        <v>10</v>
      </c>
      <c r="BA33" s="186">
        <v>5</v>
      </c>
      <c r="BB33" s="186">
        <v>8</v>
      </c>
      <c r="BC33" s="186">
        <v>9</v>
      </c>
      <c r="BD33" s="186">
        <v>8</v>
      </c>
      <c r="BE33" s="186">
        <v>7</v>
      </c>
      <c r="BF33" s="186">
        <v>9</v>
      </c>
      <c r="BG33" s="186">
        <v>9</v>
      </c>
      <c r="BH33" s="129">
        <f t="shared" si="15"/>
        <v>65</v>
      </c>
      <c r="BI33" s="11">
        <v>636</v>
      </c>
      <c r="BJ33" s="256">
        <f t="shared" si="16"/>
        <v>0.10220125786163523</v>
      </c>
    </row>
    <row r="34" spans="2:62" x14ac:dyDescent="0.25">
      <c r="B34" s="23" t="s">
        <v>20</v>
      </c>
      <c r="C34" s="27">
        <v>0.96142857142857152</v>
      </c>
      <c r="D34" s="27">
        <v>1.1951807228915663</v>
      </c>
      <c r="E34" s="27">
        <f t="shared" si="19"/>
        <v>5.1711072112316528E-2</v>
      </c>
      <c r="G34" s="26" t="s">
        <v>16</v>
      </c>
      <c r="H34" s="27">
        <v>1.0625</v>
      </c>
      <c r="I34" s="27">
        <v>0.85443571312540612</v>
      </c>
      <c r="J34" s="31">
        <f t="shared" si="20"/>
        <v>3.579690491384812E-2</v>
      </c>
      <c r="L34" s="184" t="s">
        <v>16</v>
      </c>
      <c r="M34" s="27">
        <v>0.66895690193628987</v>
      </c>
      <c r="N34" s="27">
        <v>0.55299060772202557</v>
      </c>
      <c r="O34" s="27">
        <f t="shared" si="21"/>
        <v>3.579690491384812E-2</v>
      </c>
      <c r="Q34" s="26" t="s">
        <v>16</v>
      </c>
      <c r="R34" s="27">
        <v>0.9140083217753121</v>
      </c>
      <c r="S34" s="27">
        <v>0.77804014167650526</v>
      </c>
      <c r="T34" s="27">
        <f t="shared" si="22"/>
        <v>3.579690491384812E-2</v>
      </c>
      <c r="V34" s="14" t="s">
        <v>22</v>
      </c>
      <c r="W34" s="27">
        <v>0.91942813687095426</v>
      </c>
      <c r="X34" s="27">
        <v>0.94594594594594594</v>
      </c>
      <c r="Y34" s="27">
        <f t="shared" si="23"/>
        <v>4.1021857051691132E-2</v>
      </c>
      <c r="AE34" s="186" t="s">
        <v>172</v>
      </c>
      <c r="AF34" s="186">
        <v>527</v>
      </c>
      <c r="AG34" s="186">
        <v>4154</v>
      </c>
      <c r="AH34" s="123">
        <f t="shared" si="8"/>
        <v>0.12686567164179105</v>
      </c>
      <c r="AJ34" s="186" t="s">
        <v>172</v>
      </c>
      <c r="AK34" s="186">
        <v>538</v>
      </c>
      <c r="AL34" s="256">
        <f t="shared" si="9"/>
        <v>1.0208728652751422</v>
      </c>
      <c r="AM34" s="186">
        <v>4046</v>
      </c>
      <c r="AN34" s="256">
        <f t="shared" si="10"/>
        <v>0.13297083539298071</v>
      </c>
      <c r="AO34" s="278">
        <f t="shared" si="11"/>
        <v>1.0481230554505538</v>
      </c>
      <c r="AQ34" s="186" t="s">
        <v>172</v>
      </c>
      <c r="AR34" s="186">
        <v>530</v>
      </c>
      <c r="AS34" s="186">
        <v>3884</v>
      </c>
      <c r="AT34" s="199">
        <f t="shared" si="12"/>
        <v>0.1364572605561277</v>
      </c>
      <c r="AU34" s="256">
        <f t="shared" si="13"/>
        <v>1.0056925996204933</v>
      </c>
      <c r="AV34" s="63">
        <f t="shared" si="14"/>
        <v>1.075604289089477</v>
      </c>
      <c r="AY34" s="186" t="s">
        <v>172</v>
      </c>
      <c r="AZ34" s="186">
        <v>22</v>
      </c>
      <c r="BA34" s="186">
        <v>23</v>
      </c>
      <c r="BB34" s="186">
        <v>35</v>
      </c>
      <c r="BC34" s="186">
        <v>29</v>
      </c>
      <c r="BD34" s="186">
        <v>32</v>
      </c>
      <c r="BE34" s="186">
        <v>31</v>
      </c>
      <c r="BF34" s="186">
        <v>57</v>
      </c>
      <c r="BG34" s="186">
        <v>90</v>
      </c>
      <c r="BH34" s="129">
        <f t="shared" si="15"/>
        <v>319</v>
      </c>
      <c r="BI34" s="11">
        <v>1798</v>
      </c>
      <c r="BJ34" s="256">
        <f t="shared" si="16"/>
        <v>0.17741935483870969</v>
      </c>
    </row>
    <row r="35" spans="2:62" x14ac:dyDescent="0.25">
      <c r="B35" s="23" t="s">
        <v>21</v>
      </c>
      <c r="C35" s="27">
        <v>0.8342857142857143</v>
      </c>
      <c r="D35" s="27">
        <v>1.0915662650602411</v>
      </c>
      <c r="E35" s="27">
        <f t="shared" si="19"/>
        <v>2.3592054881940012E-2</v>
      </c>
      <c r="G35" s="26" t="s">
        <v>18</v>
      </c>
      <c r="H35" s="27">
        <v>0.7590266875981162</v>
      </c>
      <c r="I35" s="27">
        <v>0.62934320047093562</v>
      </c>
      <c r="J35" s="31">
        <f t="shared" si="20"/>
        <v>3.7452137843012122E-2</v>
      </c>
      <c r="L35" s="184" t="s">
        <v>18</v>
      </c>
      <c r="M35" s="27">
        <v>0.54601919819311129</v>
      </c>
      <c r="N35" s="27">
        <v>0.52841391822890826</v>
      </c>
      <c r="O35" s="27">
        <f t="shared" si="21"/>
        <v>3.7452137843012122E-2</v>
      </c>
      <c r="Q35" s="26" t="s">
        <v>18</v>
      </c>
      <c r="R35" s="27">
        <v>0.60946745562130178</v>
      </c>
      <c r="S35" s="27">
        <v>1.1884615384615385</v>
      </c>
      <c r="T35" s="27">
        <f t="shared" si="22"/>
        <v>3.7452137843012122E-2</v>
      </c>
      <c r="V35" s="14" t="s">
        <v>23</v>
      </c>
      <c r="W35" s="27">
        <v>1.21665014115106</v>
      </c>
      <c r="X35" s="27">
        <v>0.98561151079136711</v>
      </c>
      <c r="Y35" s="27">
        <f t="shared" si="23"/>
        <v>4.752313337587747E-2</v>
      </c>
      <c r="AE35" s="186" t="s">
        <v>80</v>
      </c>
      <c r="AF35" s="186">
        <v>32</v>
      </c>
      <c r="AG35" s="186">
        <v>183</v>
      </c>
      <c r="AH35" s="123">
        <f t="shared" si="8"/>
        <v>0.17486338797814208</v>
      </c>
      <c r="AJ35" s="186" t="s">
        <v>80</v>
      </c>
      <c r="AK35" s="186">
        <v>37</v>
      </c>
      <c r="AL35" s="256">
        <f t="shared" si="9"/>
        <v>1.15625</v>
      </c>
      <c r="AM35" s="186">
        <v>137</v>
      </c>
      <c r="AN35" s="256">
        <f t="shared" si="10"/>
        <v>0.27007299270072993</v>
      </c>
      <c r="AO35" s="278">
        <f t="shared" si="11"/>
        <v>1.5444799270072993</v>
      </c>
      <c r="AQ35" s="186" t="s">
        <v>80</v>
      </c>
      <c r="AR35" s="186">
        <v>32</v>
      </c>
      <c r="AS35" s="186">
        <v>138</v>
      </c>
      <c r="AT35" s="199">
        <f t="shared" si="12"/>
        <v>0.2318840579710145</v>
      </c>
      <c r="AU35" s="256">
        <f t="shared" si="13"/>
        <v>1</v>
      </c>
      <c r="AV35" s="63">
        <f t="shared" si="14"/>
        <v>1.3260869565217392</v>
      </c>
      <c r="AY35" s="186" t="s">
        <v>80</v>
      </c>
      <c r="AZ35" s="186">
        <v>2</v>
      </c>
      <c r="BA35" s="186">
        <v>1</v>
      </c>
      <c r="BB35" s="186">
        <v>2</v>
      </c>
      <c r="BC35" s="186">
        <v>3</v>
      </c>
      <c r="BD35" s="186">
        <v>4</v>
      </c>
      <c r="BE35" s="186">
        <v>3</v>
      </c>
      <c r="BF35" s="186">
        <v>3</v>
      </c>
      <c r="BG35" s="186">
        <v>3</v>
      </c>
      <c r="BH35" s="129">
        <f t="shared" si="15"/>
        <v>21</v>
      </c>
      <c r="BI35" s="11">
        <v>72</v>
      </c>
      <c r="BJ35" s="256">
        <f t="shared" si="16"/>
        <v>0.29166666666666669</v>
      </c>
    </row>
    <row r="36" spans="2:62" x14ac:dyDescent="0.25">
      <c r="B36" s="23" t="s">
        <v>25</v>
      </c>
      <c r="C36" s="27">
        <v>1.0547619047619048</v>
      </c>
      <c r="D36" s="27">
        <v>1.0422222222222222</v>
      </c>
      <c r="E36" s="27">
        <f t="shared" si="19"/>
        <v>4.6107211231652838E-2</v>
      </c>
      <c r="G36" s="26" t="s">
        <v>33</v>
      </c>
      <c r="H36" s="27">
        <v>0.78061674008810578</v>
      </c>
      <c r="I36" s="27">
        <v>0.79138174635409619</v>
      </c>
      <c r="J36" s="31">
        <f t="shared" si="20"/>
        <v>2.9953733248245053E-2</v>
      </c>
      <c r="L36" s="184" t="s">
        <v>33</v>
      </c>
      <c r="M36" s="27">
        <v>0.78685612788632331</v>
      </c>
      <c r="N36" s="27">
        <v>0.80862023355126422</v>
      </c>
      <c r="O36" s="27">
        <f t="shared" si="21"/>
        <v>2.9953733248245053E-2</v>
      </c>
      <c r="Q36" s="26" t="s">
        <v>33</v>
      </c>
      <c r="R36" s="27">
        <v>0.74371859296482412</v>
      </c>
      <c r="S36" s="27">
        <v>0.86676427525622257</v>
      </c>
      <c r="T36" s="27">
        <f t="shared" si="22"/>
        <v>2.9953733248245053E-2</v>
      </c>
      <c r="V36" s="14" t="s">
        <v>25</v>
      </c>
      <c r="W36" s="27">
        <v>0.8168647703975892</v>
      </c>
      <c r="X36" s="27">
        <v>1.2283464566929134</v>
      </c>
      <c r="Y36" s="27">
        <f t="shared" si="23"/>
        <v>4.6107211231652838E-2</v>
      </c>
      <c r="AE36" s="186" t="s">
        <v>76</v>
      </c>
      <c r="AF36" s="186">
        <v>1086</v>
      </c>
      <c r="AG36" s="186">
        <v>10325</v>
      </c>
      <c r="AH36" s="123">
        <f t="shared" si="8"/>
        <v>0.10518159806295399</v>
      </c>
      <c r="AJ36" s="186" t="s">
        <v>76</v>
      </c>
      <c r="AK36" s="186">
        <v>1015</v>
      </c>
      <c r="AL36" s="256">
        <f t="shared" si="9"/>
        <v>0.93462246777163904</v>
      </c>
      <c r="AM36" s="186">
        <v>11039</v>
      </c>
      <c r="AN36" s="256">
        <f t="shared" si="10"/>
        <v>9.1946734305643624E-2</v>
      </c>
      <c r="AO36" s="278">
        <f t="shared" si="11"/>
        <v>0.8741712999132325</v>
      </c>
      <c r="AQ36" s="186" t="s">
        <v>76</v>
      </c>
      <c r="AR36" s="186">
        <v>1001</v>
      </c>
      <c r="AS36" s="186">
        <v>11016</v>
      </c>
      <c r="AT36" s="199">
        <f t="shared" si="12"/>
        <v>9.0867828612926652E-2</v>
      </c>
      <c r="AU36" s="256">
        <f t="shared" si="13"/>
        <v>0.92173112338858199</v>
      </c>
      <c r="AV36" s="63">
        <f t="shared" si="14"/>
        <v>0.86391374809251176</v>
      </c>
      <c r="AY36" s="186" t="s">
        <v>76</v>
      </c>
      <c r="AZ36" s="186">
        <v>93</v>
      </c>
      <c r="BA36" s="186">
        <v>116</v>
      </c>
      <c r="BB36" s="186">
        <v>94</v>
      </c>
      <c r="BC36" s="186">
        <v>82</v>
      </c>
      <c r="BD36" s="186">
        <v>84</v>
      </c>
      <c r="BE36" s="186">
        <v>124</v>
      </c>
      <c r="BF36" s="186">
        <v>76</v>
      </c>
      <c r="BG36" s="186">
        <v>53</v>
      </c>
      <c r="BH36" s="129">
        <f t="shared" si="15"/>
        <v>722</v>
      </c>
      <c r="BI36" s="11">
        <v>7787</v>
      </c>
      <c r="BJ36" s="256">
        <f t="shared" si="16"/>
        <v>9.2718633620136118E-2</v>
      </c>
    </row>
    <row r="37" spans="2:62" x14ac:dyDescent="0.25">
      <c r="B37" s="23" t="s">
        <v>22</v>
      </c>
      <c r="C37" s="27">
        <v>1.0971428571428572</v>
      </c>
      <c r="D37" s="27">
        <v>1.093181818181818</v>
      </c>
      <c r="E37" s="27">
        <f t="shared" si="19"/>
        <v>4.1021857051691132E-2</v>
      </c>
      <c r="G37" s="26" t="s">
        <v>21</v>
      </c>
      <c r="H37" s="27">
        <v>1.0850746268656717</v>
      </c>
      <c r="I37" s="27">
        <v>0.82490101089300216</v>
      </c>
      <c r="J37" s="31">
        <f t="shared" si="20"/>
        <v>2.3592054881940012E-2</v>
      </c>
      <c r="L37" s="184" t="s">
        <v>21</v>
      </c>
      <c r="M37" s="27">
        <v>0.98777173913043481</v>
      </c>
      <c r="N37" s="27">
        <v>0.89653103502188869</v>
      </c>
      <c r="O37" s="27">
        <f t="shared" si="21"/>
        <v>2.3592054881940012E-2</v>
      </c>
      <c r="Q37" s="26" t="s">
        <v>21</v>
      </c>
      <c r="R37" s="27">
        <v>1.0319148936170213</v>
      </c>
      <c r="S37" s="27">
        <v>1.1714975845410629</v>
      </c>
      <c r="T37" s="27">
        <f t="shared" si="22"/>
        <v>2.3592054881940012E-2</v>
      </c>
      <c r="V37" s="14" t="s">
        <v>26</v>
      </c>
      <c r="W37" s="27">
        <v>0.70623186154806383</v>
      </c>
      <c r="X37" s="27">
        <v>0.94186046511627919</v>
      </c>
      <c r="Y37" s="27">
        <f t="shared" si="23"/>
        <v>2.1936821952776006E-2</v>
      </c>
      <c r="AE37" s="186" t="s">
        <v>18</v>
      </c>
      <c r="AF37" s="186">
        <v>2538</v>
      </c>
      <c r="AG37" s="186">
        <v>61908.937999999995</v>
      </c>
      <c r="AH37" s="123">
        <f t="shared" si="8"/>
        <v>4.0995695968811488E-2</v>
      </c>
      <c r="AJ37" s="186" t="s">
        <v>18</v>
      </c>
      <c r="AK37" s="186">
        <v>1878</v>
      </c>
      <c r="AL37" s="256">
        <f t="shared" si="9"/>
        <v>0.73995271867612289</v>
      </c>
      <c r="AM37" s="186">
        <v>61115</v>
      </c>
      <c r="AN37" s="256">
        <f t="shared" si="10"/>
        <v>3.0728953612042871E-2</v>
      </c>
      <c r="AO37" s="278">
        <f t="shared" si="11"/>
        <v>0.74956536011538133</v>
      </c>
      <c r="AQ37" s="186" t="s">
        <v>18</v>
      </c>
      <c r="AR37" s="186">
        <v>1878</v>
      </c>
      <c r="AS37" s="186">
        <v>59541</v>
      </c>
      <c r="AT37" s="199">
        <f t="shared" si="12"/>
        <v>3.1541290875195242E-2</v>
      </c>
      <c r="AU37" s="256">
        <f t="shared" si="13"/>
        <v>0.73995271867612289</v>
      </c>
      <c r="AV37" s="63">
        <f t="shared" si="14"/>
        <v>0.7693805442208147</v>
      </c>
      <c r="AY37" s="186" t="s">
        <v>18</v>
      </c>
      <c r="AZ37" s="186">
        <v>150</v>
      </c>
      <c r="BA37" s="186">
        <v>120</v>
      </c>
      <c r="BB37" s="186">
        <v>149</v>
      </c>
      <c r="BC37" s="186">
        <v>116</v>
      </c>
      <c r="BD37" s="186">
        <v>151</v>
      </c>
      <c r="BE37" s="186">
        <v>306</v>
      </c>
      <c r="BF37" s="186">
        <v>224</v>
      </c>
      <c r="BG37" s="186">
        <v>216</v>
      </c>
      <c r="BH37" s="129">
        <f t="shared" si="15"/>
        <v>1432</v>
      </c>
      <c r="BI37" s="11">
        <v>36610</v>
      </c>
      <c r="BJ37" s="256">
        <f t="shared" si="16"/>
        <v>3.9114995902758812E-2</v>
      </c>
    </row>
    <row r="38" spans="2:62" x14ac:dyDescent="0.25">
      <c r="B38" s="23" t="s">
        <v>33</v>
      </c>
      <c r="C38" s="27">
        <v>0.80000000000000016</v>
      </c>
      <c r="D38" s="27">
        <v>1.0511363636363638</v>
      </c>
      <c r="E38" s="27">
        <v>2.9953733248245053E-2</v>
      </c>
      <c r="G38" s="26" t="s">
        <v>26</v>
      </c>
      <c r="H38" s="27">
        <v>0.93741677762982689</v>
      </c>
      <c r="I38" s="27">
        <v>1.106815739801831</v>
      </c>
      <c r="J38" s="31">
        <f t="shared" si="20"/>
        <v>2.1936821952776006E-2</v>
      </c>
      <c r="L38" s="184" t="s">
        <v>26</v>
      </c>
      <c r="M38" s="27">
        <v>0.67111534795042893</v>
      </c>
      <c r="N38" s="27">
        <v>0.79445183985564138</v>
      </c>
      <c r="O38" s="27">
        <f t="shared" si="21"/>
        <v>2.1936821952776006E-2</v>
      </c>
      <c r="Q38" s="26" t="s">
        <v>26</v>
      </c>
      <c r="R38" s="27">
        <v>0.5613810741687979</v>
      </c>
      <c r="S38" s="27">
        <v>0.96271929824561409</v>
      </c>
      <c r="T38" s="27">
        <f t="shared" si="22"/>
        <v>2.1936821952776006E-2</v>
      </c>
      <c r="V38" s="14" t="s">
        <v>27</v>
      </c>
      <c r="W38" s="27">
        <v>1.0964722222222223</v>
      </c>
      <c r="X38" s="27">
        <v>0.59688683214135463</v>
      </c>
      <c r="Y38" s="27">
        <f t="shared" si="23"/>
        <v>2.9953733248245053E-2</v>
      </c>
      <c r="AF38" s="129">
        <f>SUM(AF6:AF37)</f>
        <v>53045</v>
      </c>
      <c r="AG38" s="129"/>
      <c r="AH38" s="123"/>
      <c r="AK38" s="129">
        <f>SUM(AK6:AK37)</f>
        <v>50144</v>
      </c>
      <c r="AN38" s="256"/>
      <c r="AV38" s="63"/>
    </row>
    <row r="39" spans="2:62" x14ac:dyDescent="0.25">
      <c r="G39" s="26" t="s">
        <v>85</v>
      </c>
      <c r="H39" s="27">
        <v>0.76873661670235549</v>
      </c>
      <c r="I39" s="27">
        <v>0.67316048561968578</v>
      </c>
      <c r="J39" s="31">
        <f t="shared" si="20"/>
        <v>1.1825941289087429E-2</v>
      </c>
      <c r="L39" s="184" t="s">
        <v>85</v>
      </c>
      <c r="M39" s="27">
        <v>0.84669811320754718</v>
      </c>
      <c r="N39" s="27">
        <v>0.81861291150468374</v>
      </c>
      <c r="O39" s="27">
        <f t="shared" si="21"/>
        <v>1.1825941289087429E-2</v>
      </c>
      <c r="Q39" s="26" t="s">
        <v>85</v>
      </c>
      <c r="R39" s="27">
        <v>0.85401459854014594</v>
      </c>
      <c r="S39" s="27">
        <v>0.93600000000000005</v>
      </c>
      <c r="T39" s="27">
        <f t="shared" si="22"/>
        <v>1.1825941289087429E-2</v>
      </c>
      <c r="V39" s="14" t="s">
        <v>78</v>
      </c>
      <c r="W39" s="27">
        <v>1.2602159262514931</v>
      </c>
      <c r="X39" s="27">
        <v>0.87455042439936703</v>
      </c>
      <c r="Y39" s="27">
        <f t="shared" si="23"/>
        <v>1.1825941289087429E-2</v>
      </c>
      <c r="AE39" s="11" t="s">
        <v>85</v>
      </c>
      <c r="AF39" s="129">
        <f>AF9+AF26+AF33+AF35</f>
        <v>596</v>
      </c>
      <c r="AG39" s="129">
        <f>AG9+AG26+AG33+AG35</f>
        <v>12245</v>
      </c>
      <c r="AH39" s="123">
        <f t="shared" si="8"/>
        <v>4.8672927725602284E-2</v>
      </c>
      <c r="AJ39" s="11" t="s">
        <v>85</v>
      </c>
      <c r="AK39" s="129">
        <f>AK9+AK26+AK33+AK35</f>
        <v>593</v>
      </c>
      <c r="AL39" s="256">
        <f t="shared" si="9"/>
        <v>0.99496644295302017</v>
      </c>
      <c r="AM39" s="129">
        <f>AM9+AM26+AM33+AM35</f>
        <v>12795</v>
      </c>
      <c r="AN39" s="256">
        <f t="shared" si="10"/>
        <v>4.6346228995701448E-2</v>
      </c>
      <c r="AO39" s="278">
        <f t="shared" si="11"/>
        <v>0.95219727189994008</v>
      </c>
      <c r="AQ39" s="11" t="s">
        <v>85</v>
      </c>
      <c r="AR39" s="129">
        <f>AR9+AR26+AR33+AR35</f>
        <v>623</v>
      </c>
      <c r="AS39" s="129">
        <f>AS9+AS26+AS33+AS35</f>
        <v>12402</v>
      </c>
      <c r="AT39" s="199">
        <f t="shared" si="12"/>
        <v>5.0233833252701178E-2</v>
      </c>
      <c r="AU39" s="256">
        <f t="shared" si="13"/>
        <v>1.0453020134228188</v>
      </c>
      <c r="AV39" s="63">
        <f t="shared" si="14"/>
        <v>1.0320692754686678</v>
      </c>
      <c r="AY39" s="11" t="s">
        <v>85</v>
      </c>
      <c r="AZ39" s="129">
        <f>AZ9+AZ26+AZ33+AZ35</f>
        <v>57</v>
      </c>
      <c r="BA39" s="129">
        <f t="shared" ref="BA39:BI39" si="24">BA9+BA26+BA33+BA35</f>
        <v>48</v>
      </c>
      <c r="BB39" s="129">
        <f t="shared" si="24"/>
        <v>40</v>
      </c>
      <c r="BC39" s="129">
        <f t="shared" si="24"/>
        <v>45</v>
      </c>
      <c r="BD39" s="129">
        <f t="shared" si="24"/>
        <v>63</v>
      </c>
      <c r="BE39" s="129">
        <f t="shared" si="24"/>
        <v>58</v>
      </c>
      <c r="BF39" s="129">
        <f t="shared" si="24"/>
        <v>53</v>
      </c>
      <c r="BG39" s="129">
        <f t="shared" si="24"/>
        <v>53</v>
      </c>
      <c r="BH39" s="129">
        <f t="shared" si="24"/>
        <v>417</v>
      </c>
      <c r="BI39" s="129">
        <f t="shared" si="24"/>
        <v>7399</v>
      </c>
      <c r="BJ39" s="256">
        <f t="shared" si="16"/>
        <v>5.6358967428030815E-2</v>
      </c>
    </row>
    <row r="40" spans="2:62" x14ac:dyDescent="0.25">
      <c r="AE40" s="11" t="s">
        <v>33</v>
      </c>
      <c r="AF40" s="129">
        <f>AF8+AF10+AF11+AF17+AF21+AF22+AF31+AF32+AF36+AF6</f>
        <v>1673</v>
      </c>
      <c r="AG40" s="129">
        <f>AG8+AG10+AG11+AG17+AG21+AG22+AG31+AG32+AG36+AG6</f>
        <v>19344</v>
      </c>
      <c r="AH40" s="123">
        <f t="shared" si="8"/>
        <v>8.6486765922249798E-2</v>
      </c>
      <c r="AJ40" s="11" t="s">
        <v>33</v>
      </c>
      <c r="AK40" s="129">
        <f>AK8+AK10+AK11+AK17+AK21+AK22+AK31+AK32+AK36+AK6</f>
        <v>1502</v>
      </c>
      <c r="AL40" s="256">
        <f t="shared" si="9"/>
        <v>0.89778840406455473</v>
      </c>
      <c r="AM40" s="129">
        <f>AM8+AM10+AM11+AM17+AM21+AM22+AM31+AM32+AM36+AM6</f>
        <v>19326</v>
      </c>
      <c r="AN40" s="256">
        <f t="shared" si="10"/>
        <v>7.7719134844251261E-2</v>
      </c>
      <c r="AO40" s="278">
        <f t="shared" si="11"/>
        <v>0.8986245932021496</v>
      </c>
      <c r="AQ40" s="11" t="s">
        <v>33</v>
      </c>
      <c r="AR40" s="129">
        <f>AR8+AR10+AR11+AR17+AR21+AR22+AR31+AR32+AR36+AR6</f>
        <v>1492</v>
      </c>
      <c r="AS40" s="129">
        <f>AS8+AS10+AS11+AS17+AS21+AS22+AS31+AS32+AS36+AS6</f>
        <v>19193</v>
      </c>
      <c r="AT40" s="199">
        <f t="shared" si="12"/>
        <v>7.7736674829364874E-2</v>
      </c>
      <c r="AU40" s="256">
        <f t="shared" si="13"/>
        <v>0.89181111775254029</v>
      </c>
      <c r="AV40" s="63">
        <f t="shared" si="14"/>
        <v>0.89882739862476635</v>
      </c>
      <c r="AY40" s="11" t="s">
        <v>33</v>
      </c>
      <c r="AZ40" s="129">
        <f>AZ8+AZ10+AZ11+AZ17+AZ21+AZ22+AZ31+AZ32+AZ36+AZ6</f>
        <v>132</v>
      </c>
      <c r="BA40" s="129">
        <f t="shared" ref="BA40:BI40" si="25">BA8+BA10+BA11+BA17+BA21+BA22+BA31+BA32+BA36+BA6</f>
        <v>142</v>
      </c>
      <c r="BB40" s="129">
        <f t="shared" si="25"/>
        <v>119</v>
      </c>
      <c r="BC40" s="129">
        <f t="shared" si="25"/>
        <v>114</v>
      </c>
      <c r="BD40" s="129">
        <f t="shared" si="25"/>
        <v>117</v>
      </c>
      <c r="BE40" s="129">
        <f t="shared" si="25"/>
        <v>163</v>
      </c>
      <c r="BF40" s="129">
        <f t="shared" si="25"/>
        <v>122</v>
      </c>
      <c r="BG40" s="129">
        <f t="shared" si="25"/>
        <v>96</v>
      </c>
      <c r="BH40" s="129">
        <f t="shared" si="25"/>
        <v>1005</v>
      </c>
      <c r="BI40" s="129">
        <f t="shared" si="25"/>
        <v>12381</v>
      </c>
      <c r="BJ40" s="256">
        <f t="shared" si="16"/>
        <v>8.1172764720135696E-2</v>
      </c>
    </row>
    <row r="42" spans="2:62" x14ac:dyDescent="0.25">
      <c r="B42" s="11">
        <v>1</v>
      </c>
      <c r="C42" s="11">
        <v>2</v>
      </c>
      <c r="D42" s="11">
        <v>3</v>
      </c>
      <c r="G42" s="11">
        <v>1</v>
      </c>
      <c r="H42" s="11">
        <v>2</v>
      </c>
      <c r="I42" s="11">
        <v>3</v>
      </c>
      <c r="J42" s="11">
        <v>4</v>
      </c>
      <c r="L42" s="11">
        <v>1</v>
      </c>
      <c r="M42" s="11">
        <v>2</v>
      </c>
      <c r="N42" s="11">
        <v>3</v>
      </c>
      <c r="O42" s="11">
        <v>4</v>
      </c>
      <c r="Q42" s="11">
        <v>1</v>
      </c>
      <c r="R42" s="11">
        <v>2</v>
      </c>
      <c r="S42" s="11">
        <v>3</v>
      </c>
      <c r="T42" s="11">
        <v>4</v>
      </c>
      <c r="U42" s="11">
        <v>5</v>
      </c>
      <c r="V42" s="11">
        <v>6</v>
      </c>
      <c r="AA42" s="11">
        <v>1</v>
      </c>
      <c r="AB42" s="11">
        <v>2</v>
      </c>
    </row>
    <row r="43" spans="2:62" ht="21.6" customHeight="1" x14ac:dyDescent="0.25">
      <c r="B43" s="259" t="s">
        <v>155</v>
      </c>
      <c r="C43" s="258" t="s">
        <v>206</v>
      </c>
      <c r="D43" s="258" t="s">
        <v>225</v>
      </c>
      <c r="G43" s="290" t="s">
        <v>34</v>
      </c>
      <c r="H43" s="292" t="s">
        <v>35</v>
      </c>
      <c r="I43" s="290" t="s">
        <v>226</v>
      </c>
      <c r="J43" s="290" t="s">
        <v>227</v>
      </c>
      <c r="L43" s="262" t="s">
        <v>155</v>
      </c>
      <c r="M43" s="264" t="s">
        <v>228</v>
      </c>
      <c r="N43" s="265" t="s">
        <v>229</v>
      </c>
      <c r="O43" s="265" t="s">
        <v>230</v>
      </c>
      <c r="Q43" s="290" t="s">
        <v>34</v>
      </c>
      <c r="R43" s="292" t="s">
        <v>231</v>
      </c>
      <c r="S43" s="292" t="s">
        <v>97</v>
      </c>
      <c r="T43" s="292" t="s">
        <v>93</v>
      </c>
      <c r="U43" s="292" t="s">
        <v>39</v>
      </c>
      <c r="V43" s="292" t="s">
        <v>57</v>
      </c>
      <c r="W43" s="292" t="s">
        <v>97</v>
      </c>
      <c r="X43" s="292" t="s">
        <v>93</v>
      </c>
      <c r="AA43" s="196" t="s">
        <v>1</v>
      </c>
      <c r="AB43" s="27" t="s">
        <v>190</v>
      </c>
    </row>
    <row r="44" spans="2:62" x14ac:dyDescent="0.25">
      <c r="B44" s="186" t="s">
        <v>95</v>
      </c>
      <c r="C44" s="186">
        <v>1</v>
      </c>
      <c r="D44" s="260">
        <f>C44/$C$76</f>
        <v>1.9942565411614551E-5</v>
      </c>
      <c r="G44" s="291"/>
      <c r="H44" s="293"/>
      <c r="I44" s="291"/>
      <c r="J44" s="291"/>
      <c r="L44" s="263" t="s">
        <v>95</v>
      </c>
      <c r="M44" s="23">
        <v>2</v>
      </c>
      <c r="N44" s="23">
        <v>1</v>
      </c>
      <c r="O44" s="27">
        <f>N44/M44</f>
        <v>0.5</v>
      </c>
      <c r="Q44" s="291"/>
      <c r="R44" s="293"/>
      <c r="S44" s="293"/>
      <c r="T44" s="293"/>
      <c r="U44" s="293"/>
      <c r="V44" s="293"/>
      <c r="W44" s="293"/>
      <c r="X44" s="293"/>
      <c r="AA44" s="139" t="s">
        <v>13</v>
      </c>
      <c r="AB44" s="27">
        <v>0.95243015506856332</v>
      </c>
    </row>
    <row r="45" spans="2:62" x14ac:dyDescent="0.25">
      <c r="B45" s="186" t="s">
        <v>81</v>
      </c>
      <c r="C45" s="186">
        <v>269</v>
      </c>
      <c r="D45" s="260">
        <f t="shared" ref="D45:D75" si="26">C45/$C$76</f>
        <v>5.3645500957243139E-3</v>
      </c>
      <c r="G45" s="2" t="s">
        <v>13</v>
      </c>
      <c r="H45" s="4">
        <v>12236101</v>
      </c>
      <c r="I45" s="4">
        <v>13241438</v>
      </c>
      <c r="J45" s="13">
        <f>I45/H45</f>
        <v>1.0821615480290658</v>
      </c>
      <c r="K45" s="189">
        <f>I45/$I$77</f>
        <v>0.33355466295430081</v>
      </c>
      <c r="L45" s="263" t="s">
        <v>81</v>
      </c>
      <c r="M45" s="23">
        <v>121</v>
      </c>
      <c r="N45" s="23">
        <v>192</v>
      </c>
      <c r="O45" s="27">
        <f t="shared" ref="O45:O77" si="27">N45/M45</f>
        <v>1.5867768595041323</v>
      </c>
      <c r="Q45" s="2" t="s">
        <v>13</v>
      </c>
      <c r="R45" s="5">
        <v>0.99</v>
      </c>
      <c r="S45" s="4">
        <v>96040</v>
      </c>
      <c r="T45" s="4">
        <v>96537</v>
      </c>
      <c r="U45" s="5">
        <v>1.04</v>
      </c>
      <c r="V45" s="7">
        <f>U45/R45</f>
        <v>1.0505050505050506</v>
      </c>
      <c r="W45" s="4">
        <v>100864</v>
      </c>
      <c r="X45" s="4">
        <v>96537</v>
      </c>
      <c r="AA45" s="140" t="s">
        <v>14</v>
      </c>
      <c r="AB45" s="27">
        <v>0.92592592592592582</v>
      </c>
    </row>
    <row r="46" spans="2:62" x14ac:dyDescent="0.25">
      <c r="B46" s="186" t="s">
        <v>66</v>
      </c>
      <c r="C46" s="186">
        <v>131</v>
      </c>
      <c r="D46" s="260">
        <f t="shared" si="26"/>
        <v>2.6124760689215059E-3</v>
      </c>
      <c r="G46" s="3" t="s">
        <v>26</v>
      </c>
      <c r="H46" s="4">
        <v>1390692</v>
      </c>
      <c r="I46" s="4">
        <v>982151</v>
      </c>
      <c r="J46" s="13">
        <f t="shared" ref="J46:J76" si="28">I46/H46</f>
        <v>0.70623186154806383</v>
      </c>
      <c r="K46" s="189">
        <f t="shared" ref="K46:K76" si="29">I46/$I$77</f>
        <v>2.4740594320286774E-2</v>
      </c>
      <c r="L46" s="263" t="s">
        <v>66</v>
      </c>
      <c r="M46" s="23">
        <v>60</v>
      </c>
      <c r="N46" s="23">
        <v>38</v>
      </c>
      <c r="O46" s="27">
        <f t="shared" si="27"/>
        <v>0.6333333333333333</v>
      </c>
      <c r="Q46" s="3" t="s">
        <v>26</v>
      </c>
      <c r="R46" s="5">
        <v>0.86</v>
      </c>
      <c r="S46" s="4">
        <v>11141</v>
      </c>
      <c r="T46" s="4">
        <v>12980</v>
      </c>
      <c r="U46" s="5">
        <v>0.81</v>
      </c>
      <c r="V46" s="7">
        <f t="shared" ref="V46:V74" si="30">U46/R46</f>
        <v>0.94186046511627919</v>
      </c>
      <c r="W46" s="4">
        <v>10565</v>
      </c>
      <c r="X46" s="4">
        <v>12980</v>
      </c>
      <c r="AA46" s="140" t="s">
        <v>15</v>
      </c>
      <c r="AB46" s="27">
        <v>1.1047092270853816</v>
      </c>
    </row>
    <row r="47" spans="2:62" x14ac:dyDescent="0.25">
      <c r="B47" s="186" t="s">
        <v>68</v>
      </c>
      <c r="C47" s="186">
        <v>200</v>
      </c>
      <c r="D47" s="260">
        <f t="shared" si="26"/>
        <v>3.9885130823229097E-3</v>
      </c>
      <c r="G47" s="3" t="s">
        <v>16</v>
      </c>
      <c r="H47" s="4">
        <v>2975433</v>
      </c>
      <c r="I47" s="4">
        <v>2845632</v>
      </c>
      <c r="J47" s="13">
        <f t="shared" si="28"/>
        <v>0.95637576110771105</v>
      </c>
      <c r="K47" s="189">
        <f t="shared" si="29"/>
        <v>7.168208034897515E-2</v>
      </c>
      <c r="L47" s="263" t="s">
        <v>68</v>
      </c>
      <c r="M47" s="23">
        <v>132</v>
      </c>
      <c r="N47" s="23">
        <v>112</v>
      </c>
      <c r="O47" s="27">
        <f t="shared" si="27"/>
        <v>0.84848484848484851</v>
      </c>
      <c r="Q47" s="3" t="s">
        <v>16</v>
      </c>
      <c r="R47" s="5">
        <v>1.03</v>
      </c>
      <c r="S47" s="4">
        <v>19191</v>
      </c>
      <c r="T47" s="4">
        <v>18545</v>
      </c>
      <c r="U47" s="5">
        <v>1.04</v>
      </c>
      <c r="V47" s="7">
        <f t="shared" si="30"/>
        <v>1.0097087378640777</v>
      </c>
      <c r="W47" s="4">
        <v>19230</v>
      </c>
      <c r="X47" s="4">
        <v>18545</v>
      </c>
      <c r="AA47" s="140" t="s">
        <v>16</v>
      </c>
      <c r="AB47" s="27">
        <v>1.0382114210845874</v>
      </c>
    </row>
    <row r="48" spans="2:62" x14ac:dyDescent="0.25">
      <c r="B48" s="186" t="s">
        <v>69</v>
      </c>
      <c r="C48" s="186">
        <v>16</v>
      </c>
      <c r="D48" s="260">
        <f t="shared" si="26"/>
        <v>3.1908104658583282E-4</v>
      </c>
      <c r="G48" s="3" t="s">
        <v>25</v>
      </c>
      <c r="H48" s="4">
        <v>3124205</v>
      </c>
      <c r="I48" s="4">
        <v>2552053</v>
      </c>
      <c r="J48" s="13">
        <f t="shared" si="28"/>
        <v>0.8168647703975892</v>
      </c>
      <c r="K48" s="189">
        <f t="shared" si="29"/>
        <v>6.4286762378565843E-2</v>
      </c>
      <c r="L48" s="263" t="s">
        <v>69</v>
      </c>
      <c r="M48" s="23">
        <v>7</v>
      </c>
      <c r="N48" s="23">
        <v>10</v>
      </c>
      <c r="O48" s="27">
        <f t="shared" si="27"/>
        <v>1.4285714285714286</v>
      </c>
      <c r="Q48" s="3" t="s">
        <v>25</v>
      </c>
      <c r="R48" s="5">
        <v>1.27</v>
      </c>
      <c r="S48" s="4">
        <v>12248</v>
      </c>
      <c r="T48" s="4">
        <v>9639</v>
      </c>
      <c r="U48" s="5">
        <v>1.56</v>
      </c>
      <c r="V48" s="7">
        <f t="shared" si="30"/>
        <v>1.2283464566929134</v>
      </c>
      <c r="W48" s="4">
        <v>15056</v>
      </c>
      <c r="X48" s="4">
        <v>9639</v>
      </c>
      <c r="AA48" s="140" t="s">
        <v>17</v>
      </c>
      <c r="AB48" s="27">
        <v>1.0886912904696762</v>
      </c>
    </row>
    <row r="49" spans="2:28" x14ac:dyDescent="0.25">
      <c r="B49" s="186" t="s">
        <v>70</v>
      </c>
      <c r="C49" s="186">
        <v>98</v>
      </c>
      <c r="D49" s="260">
        <f t="shared" si="26"/>
        <v>1.954371410338226E-3</v>
      </c>
      <c r="G49" s="3" t="s">
        <v>18</v>
      </c>
      <c r="H49" s="4">
        <v>1765855</v>
      </c>
      <c r="I49" s="4">
        <v>1818922</v>
      </c>
      <c r="J49" s="13">
        <f t="shared" si="28"/>
        <v>1.0300517313142925</v>
      </c>
      <c r="K49" s="189">
        <f t="shared" si="29"/>
        <v>4.5819035262647662E-2</v>
      </c>
      <c r="L49" s="263" t="s">
        <v>70</v>
      </c>
      <c r="M49" s="23">
        <v>47</v>
      </c>
      <c r="N49" s="23">
        <v>66</v>
      </c>
      <c r="O49" s="27">
        <f t="shared" si="27"/>
        <v>1.4042553191489362</v>
      </c>
      <c r="Q49" s="3" t="s">
        <v>18</v>
      </c>
      <c r="R49" s="5">
        <v>0.85</v>
      </c>
      <c r="S49" s="4">
        <v>13108</v>
      </c>
      <c r="T49" s="4">
        <v>15488</v>
      </c>
      <c r="U49" s="5">
        <v>0.84</v>
      </c>
      <c r="V49" s="7">
        <f t="shared" si="30"/>
        <v>0.9882352941176471</v>
      </c>
      <c r="W49" s="4">
        <v>13059</v>
      </c>
      <c r="X49" s="4">
        <v>15488</v>
      </c>
      <c r="AA49" s="140" t="s">
        <v>18</v>
      </c>
      <c r="AB49" s="27">
        <v>0.99951652601969054</v>
      </c>
    </row>
    <row r="50" spans="2:28" x14ac:dyDescent="0.25">
      <c r="B50" s="186" t="s">
        <v>82</v>
      </c>
      <c r="C50" s="186">
        <v>50</v>
      </c>
      <c r="D50" s="260">
        <f t="shared" si="26"/>
        <v>9.9712827058072743E-4</v>
      </c>
      <c r="G50" s="3" t="s">
        <v>66</v>
      </c>
      <c r="H50" s="5"/>
      <c r="I50" s="5"/>
      <c r="J50" s="13" t="e">
        <f t="shared" si="28"/>
        <v>#DIV/0!</v>
      </c>
      <c r="K50" s="189">
        <f t="shared" si="29"/>
        <v>0</v>
      </c>
      <c r="L50" s="263" t="s">
        <v>82</v>
      </c>
      <c r="M50" s="23">
        <v>33</v>
      </c>
      <c r="N50" s="23">
        <v>22</v>
      </c>
      <c r="O50" s="27">
        <f t="shared" si="27"/>
        <v>0.66666666666666663</v>
      </c>
      <c r="Q50" s="3" t="s">
        <v>66</v>
      </c>
      <c r="R50" s="5">
        <v>1.03</v>
      </c>
      <c r="S50" s="5">
        <v>705</v>
      </c>
      <c r="T50" s="5">
        <v>685</v>
      </c>
      <c r="U50" s="5">
        <v>0.99</v>
      </c>
      <c r="V50" s="7">
        <f t="shared" si="30"/>
        <v>0.96116504854368934</v>
      </c>
      <c r="W50" s="5">
        <v>677</v>
      </c>
      <c r="X50" s="5">
        <v>685</v>
      </c>
      <c r="AA50" s="140" t="s">
        <v>19</v>
      </c>
      <c r="AB50" s="27">
        <v>1.0679722394008107</v>
      </c>
    </row>
    <row r="51" spans="2:28" x14ac:dyDescent="0.25">
      <c r="B51" s="186" t="s">
        <v>26</v>
      </c>
      <c r="C51" s="186">
        <v>1100</v>
      </c>
      <c r="D51" s="260">
        <f t="shared" si="26"/>
        <v>2.1936821952776006E-2</v>
      </c>
      <c r="G51" s="3" t="s">
        <v>68</v>
      </c>
      <c r="H51" s="5"/>
      <c r="I51" s="5">
        <v>961</v>
      </c>
      <c r="J51" s="13" t="e">
        <f t="shared" si="28"/>
        <v>#DIV/0!</v>
      </c>
      <c r="K51" s="189">
        <f t="shared" si="29"/>
        <v>2.4207796094282439E-5</v>
      </c>
      <c r="L51" s="263" t="s">
        <v>26</v>
      </c>
      <c r="M51" s="23">
        <v>631</v>
      </c>
      <c r="N51" s="23">
        <v>704</v>
      </c>
      <c r="O51" s="27">
        <f t="shared" si="27"/>
        <v>1.115689381933439</v>
      </c>
      <c r="Q51" s="3" t="s">
        <v>68</v>
      </c>
      <c r="R51" s="5">
        <v>2.12</v>
      </c>
      <c r="S51" s="4">
        <v>2056</v>
      </c>
      <c r="T51" s="5">
        <v>968</v>
      </c>
      <c r="U51" s="5">
        <v>1.42</v>
      </c>
      <c r="V51" s="7">
        <f t="shared" si="30"/>
        <v>0.66981132075471694</v>
      </c>
      <c r="W51" s="4">
        <v>1377</v>
      </c>
      <c r="X51" s="5">
        <v>968</v>
      </c>
      <c r="AA51" s="140" t="s">
        <v>20</v>
      </c>
      <c r="AB51" s="27">
        <v>1.0959733575537389</v>
      </c>
    </row>
    <row r="52" spans="2:28" x14ac:dyDescent="0.25">
      <c r="B52" s="186" t="s">
        <v>13</v>
      </c>
      <c r="C52" s="186">
        <v>13963</v>
      </c>
      <c r="D52" s="260">
        <f t="shared" si="26"/>
        <v>0.27845804084237397</v>
      </c>
      <c r="G52" s="3" t="s">
        <v>69</v>
      </c>
      <c r="H52" s="5"/>
      <c r="I52" s="5"/>
      <c r="J52" s="13" t="e">
        <f t="shared" si="28"/>
        <v>#DIV/0!</v>
      </c>
      <c r="K52" s="189">
        <f t="shared" si="29"/>
        <v>0</v>
      </c>
      <c r="L52" s="263" t="s">
        <v>13</v>
      </c>
      <c r="M52" s="23">
        <v>7365</v>
      </c>
      <c r="N52" s="23">
        <v>9216</v>
      </c>
      <c r="O52" s="27">
        <f t="shared" si="27"/>
        <v>1.2513238289205704</v>
      </c>
      <c r="Q52" s="3" t="s">
        <v>69</v>
      </c>
      <c r="R52" s="5">
        <v>1.19</v>
      </c>
      <c r="S52" s="5">
        <v>113</v>
      </c>
      <c r="T52" s="5">
        <v>95</v>
      </c>
      <c r="U52" s="5"/>
      <c r="V52" s="7">
        <f t="shared" si="30"/>
        <v>0</v>
      </c>
      <c r="W52" s="5"/>
      <c r="X52" s="5">
        <v>95</v>
      </c>
      <c r="AA52" s="140" t="s">
        <v>21</v>
      </c>
      <c r="AB52" s="27">
        <v>0.95610746641674482</v>
      </c>
    </row>
    <row r="53" spans="2:28" x14ac:dyDescent="0.25">
      <c r="B53" s="186" t="s">
        <v>15</v>
      </c>
      <c r="C53" s="186">
        <v>6523</v>
      </c>
      <c r="D53" s="260">
        <f t="shared" si="26"/>
        <v>0.1300853541799617</v>
      </c>
      <c r="G53" s="3" t="s">
        <v>70</v>
      </c>
      <c r="H53" s="5"/>
      <c r="I53" s="5"/>
      <c r="J53" s="13" t="e">
        <f t="shared" si="28"/>
        <v>#DIV/0!</v>
      </c>
      <c r="K53" s="189">
        <f t="shared" si="29"/>
        <v>0</v>
      </c>
      <c r="L53" s="263" t="s">
        <v>15</v>
      </c>
      <c r="M53" s="23">
        <v>3991</v>
      </c>
      <c r="N53" s="23">
        <v>4588</v>
      </c>
      <c r="O53" s="27">
        <f t="shared" si="27"/>
        <v>1.1495865697820096</v>
      </c>
      <c r="Q53" s="3" t="s">
        <v>70</v>
      </c>
      <c r="R53" s="5">
        <v>1.03</v>
      </c>
      <c r="S53" s="5">
        <v>698</v>
      </c>
      <c r="T53" s="5">
        <v>677</v>
      </c>
      <c r="U53" s="5">
        <v>0.2</v>
      </c>
      <c r="V53" s="7">
        <f t="shared" si="30"/>
        <v>0.1941747572815534</v>
      </c>
      <c r="W53" s="5">
        <v>134</v>
      </c>
      <c r="X53" s="5">
        <v>677</v>
      </c>
      <c r="AA53" s="140" t="s">
        <v>22</v>
      </c>
      <c r="AB53" s="27">
        <v>1.1111111111111112</v>
      </c>
    </row>
    <row r="54" spans="2:28" x14ac:dyDescent="0.25">
      <c r="B54" s="186" t="s">
        <v>83</v>
      </c>
      <c r="C54" s="186">
        <v>278</v>
      </c>
      <c r="D54" s="260">
        <f t="shared" si="26"/>
        <v>5.5440331844288449E-3</v>
      </c>
      <c r="G54" s="3" t="s">
        <v>71</v>
      </c>
      <c r="H54" s="5"/>
      <c r="I54" s="5"/>
      <c r="J54" s="13" t="e">
        <f t="shared" si="28"/>
        <v>#DIV/0!</v>
      </c>
      <c r="K54" s="189">
        <f t="shared" si="29"/>
        <v>0</v>
      </c>
      <c r="L54" s="263" t="s">
        <v>83</v>
      </c>
      <c r="M54" s="23">
        <v>162</v>
      </c>
      <c r="N54" s="23">
        <v>187</v>
      </c>
      <c r="O54" s="27">
        <f t="shared" si="27"/>
        <v>1.154320987654321</v>
      </c>
      <c r="Q54" s="3" t="s">
        <v>71</v>
      </c>
      <c r="R54" s="5">
        <v>1.03</v>
      </c>
      <c r="S54" s="5">
        <v>303</v>
      </c>
      <c r="T54" s="5">
        <v>293</v>
      </c>
      <c r="U54" s="5"/>
      <c r="V54" s="7">
        <f t="shared" si="30"/>
        <v>0</v>
      </c>
      <c r="W54" s="5"/>
      <c r="X54" s="5">
        <v>293</v>
      </c>
      <c r="AA54" s="140" t="s">
        <v>23</v>
      </c>
      <c r="AB54" s="27">
        <v>0.96594982078853042</v>
      </c>
    </row>
    <row r="55" spans="2:28" x14ac:dyDescent="0.25">
      <c r="B55" s="186" t="s">
        <v>71</v>
      </c>
      <c r="C55" s="186">
        <v>47</v>
      </c>
      <c r="D55" s="260">
        <f t="shared" si="26"/>
        <v>9.3730057434588386E-4</v>
      </c>
      <c r="G55" s="3" t="s">
        <v>72</v>
      </c>
      <c r="H55" s="5"/>
      <c r="I55" s="5"/>
      <c r="J55" s="13" t="e">
        <f t="shared" si="28"/>
        <v>#DIV/0!</v>
      </c>
      <c r="K55" s="189">
        <f t="shared" si="29"/>
        <v>0</v>
      </c>
      <c r="L55" s="263" t="s">
        <v>71</v>
      </c>
      <c r="M55" s="23">
        <v>35</v>
      </c>
      <c r="N55" s="23">
        <v>30</v>
      </c>
      <c r="O55" s="27">
        <f t="shared" si="27"/>
        <v>0.8571428571428571</v>
      </c>
      <c r="Q55" s="3" t="s">
        <v>72</v>
      </c>
      <c r="R55" s="5">
        <v>1.03</v>
      </c>
      <c r="S55" s="5">
        <v>314</v>
      </c>
      <c r="T55" s="5">
        <v>305</v>
      </c>
      <c r="U55" s="5">
        <v>1.8</v>
      </c>
      <c r="V55" s="7">
        <f t="shared" si="30"/>
        <v>1.7475728155339805</v>
      </c>
      <c r="W55" s="5">
        <v>549</v>
      </c>
      <c r="X55" s="5">
        <v>305</v>
      </c>
      <c r="AA55" s="140" t="s">
        <v>25</v>
      </c>
      <c r="AB55" s="27">
        <v>0.98309178743961345</v>
      </c>
    </row>
    <row r="56" spans="2:28" x14ac:dyDescent="0.25">
      <c r="B56" s="186" t="s">
        <v>22</v>
      </c>
      <c r="C56" s="186">
        <v>2057</v>
      </c>
      <c r="D56" s="260">
        <f t="shared" si="26"/>
        <v>4.1021857051691132E-2</v>
      </c>
      <c r="G56" s="3" t="s">
        <v>73</v>
      </c>
      <c r="H56" s="5"/>
      <c r="I56" s="5"/>
      <c r="J56" s="13" t="e">
        <f t="shared" si="28"/>
        <v>#DIV/0!</v>
      </c>
      <c r="K56" s="189">
        <f t="shared" si="29"/>
        <v>0</v>
      </c>
      <c r="L56" s="263" t="s">
        <v>22</v>
      </c>
      <c r="M56" s="23">
        <v>1402</v>
      </c>
      <c r="N56" s="23">
        <v>1154</v>
      </c>
      <c r="O56" s="27">
        <f t="shared" si="27"/>
        <v>0.82310984308131241</v>
      </c>
      <c r="Q56" s="3" t="s">
        <v>73</v>
      </c>
      <c r="R56" s="5">
        <v>1.04</v>
      </c>
      <c r="S56" s="5">
        <v>608</v>
      </c>
      <c r="T56" s="5">
        <v>587</v>
      </c>
      <c r="U56" s="5">
        <v>0.14000000000000001</v>
      </c>
      <c r="V56" s="7">
        <f t="shared" si="30"/>
        <v>0.13461538461538464</v>
      </c>
      <c r="W56" s="5">
        <v>83</v>
      </c>
      <c r="X56" s="5">
        <v>587</v>
      </c>
      <c r="AA56" s="140" t="s">
        <v>26</v>
      </c>
      <c r="AB56" s="27">
        <v>1.0687884430901191</v>
      </c>
    </row>
    <row r="57" spans="2:28" x14ac:dyDescent="0.25">
      <c r="B57" s="186" t="s">
        <v>16</v>
      </c>
      <c r="C57" s="186">
        <v>1795</v>
      </c>
      <c r="D57" s="260">
        <f t="shared" si="26"/>
        <v>3.579690491384812E-2</v>
      </c>
      <c r="G57" s="3" t="s">
        <v>74</v>
      </c>
      <c r="H57" s="4">
        <v>44367</v>
      </c>
      <c r="I57" s="4">
        <v>24017</v>
      </c>
      <c r="J57" s="13">
        <f t="shared" si="28"/>
        <v>0.54132576013703881</v>
      </c>
      <c r="K57" s="189">
        <f t="shared" si="29"/>
        <v>6.0499338064139575E-4</v>
      </c>
      <c r="L57" s="263" t="s">
        <v>16</v>
      </c>
      <c r="M57" s="23">
        <v>959</v>
      </c>
      <c r="N57" s="23">
        <v>1071</v>
      </c>
      <c r="O57" s="27">
        <f t="shared" si="27"/>
        <v>1.1167883211678833</v>
      </c>
      <c r="Q57" s="3" t="s">
        <v>74</v>
      </c>
      <c r="R57" s="5">
        <v>2.12</v>
      </c>
      <c r="S57" s="4">
        <v>3790</v>
      </c>
      <c r="T57" s="4">
        <v>1787</v>
      </c>
      <c r="U57" s="5">
        <v>2.08</v>
      </c>
      <c r="V57" s="7">
        <f t="shared" si="30"/>
        <v>0.98113207547169812</v>
      </c>
      <c r="W57" s="4">
        <v>3722</v>
      </c>
      <c r="X57" s="4">
        <v>1787</v>
      </c>
      <c r="AA57" s="140" t="s">
        <v>27</v>
      </c>
      <c r="AB57" s="27">
        <v>0.88695569789188755</v>
      </c>
    </row>
    <row r="58" spans="2:28" x14ac:dyDescent="0.25">
      <c r="B58" s="186" t="s">
        <v>19</v>
      </c>
      <c r="C58" s="186">
        <v>2229</v>
      </c>
      <c r="D58" s="260">
        <f t="shared" si="26"/>
        <v>4.4451978302488829E-2</v>
      </c>
      <c r="G58" s="3" t="s">
        <v>75</v>
      </c>
      <c r="H58" s="5"/>
      <c r="I58" s="5"/>
      <c r="J58" s="13" t="e">
        <f t="shared" si="28"/>
        <v>#DIV/0!</v>
      </c>
      <c r="K58" s="189">
        <f t="shared" si="29"/>
        <v>0</v>
      </c>
      <c r="L58" s="263" t="s">
        <v>19</v>
      </c>
      <c r="M58" s="23">
        <v>1447</v>
      </c>
      <c r="N58" s="23">
        <v>1318</v>
      </c>
      <c r="O58" s="27">
        <f t="shared" si="27"/>
        <v>0.91085003455425018</v>
      </c>
      <c r="Q58" s="3" t="s">
        <v>75</v>
      </c>
      <c r="R58" s="5">
        <v>1.03</v>
      </c>
      <c r="S58" s="5">
        <v>484</v>
      </c>
      <c r="T58" s="5">
        <v>471</v>
      </c>
      <c r="U58" s="5"/>
      <c r="V58" s="7">
        <f t="shared" si="30"/>
        <v>0</v>
      </c>
      <c r="W58" s="5"/>
      <c r="X58" s="5">
        <v>471</v>
      </c>
      <c r="AA58" s="140" t="s">
        <v>78</v>
      </c>
      <c r="AB58" s="27">
        <v>0.58751204984320093</v>
      </c>
    </row>
    <row r="59" spans="2:28" x14ac:dyDescent="0.25">
      <c r="B59" s="186" t="s">
        <v>72</v>
      </c>
      <c r="C59" s="186">
        <v>54</v>
      </c>
      <c r="D59" s="260">
        <f t="shared" si="26"/>
        <v>1.0768985322271857E-3</v>
      </c>
      <c r="G59" s="3" t="s">
        <v>77</v>
      </c>
      <c r="H59" s="5"/>
      <c r="I59" s="5"/>
      <c r="J59" s="13" t="e">
        <f t="shared" si="28"/>
        <v>#DIV/0!</v>
      </c>
      <c r="K59" s="189">
        <f t="shared" si="29"/>
        <v>0</v>
      </c>
      <c r="L59" s="263" t="s">
        <v>72</v>
      </c>
      <c r="M59" s="23">
        <v>32</v>
      </c>
      <c r="N59" s="23">
        <v>34</v>
      </c>
      <c r="O59" s="27">
        <f t="shared" si="27"/>
        <v>1.0625</v>
      </c>
      <c r="Q59" s="3" t="s">
        <v>77</v>
      </c>
      <c r="R59" s="5"/>
      <c r="S59" s="5"/>
      <c r="T59" s="5">
        <v>245</v>
      </c>
      <c r="U59" s="5">
        <v>0.54</v>
      </c>
      <c r="V59" s="7" t="e">
        <f t="shared" si="30"/>
        <v>#DIV/0!</v>
      </c>
      <c r="W59" s="5">
        <v>132</v>
      </c>
      <c r="X59" s="5">
        <v>245</v>
      </c>
    </row>
    <row r="60" spans="2:28" x14ac:dyDescent="0.25">
      <c r="B60" s="186" t="s">
        <v>73</v>
      </c>
      <c r="C60" s="186">
        <v>51</v>
      </c>
      <c r="D60" s="260">
        <f t="shared" si="26"/>
        <v>1.0170708359923421E-3</v>
      </c>
      <c r="G60" s="3" t="s">
        <v>79</v>
      </c>
      <c r="H60" s="5"/>
      <c r="I60" s="4">
        <v>30934</v>
      </c>
      <c r="J60" s="13" t="e">
        <f t="shared" si="28"/>
        <v>#DIV/0!</v>
      </c>
      <c r="K60" s="189">
        <f t="shared" si="29"/>
        <v>7.7923409404842135E-4</v>
      </c>
      <c r="L60" s="263" t="s">
        <v>73</v>
      </c>
      <c r="M60" s="23">
        <v>40</v>
      </c>
      <c r="N60" s="23">
        <v>23</v>
      </c>
      <c r="O60" s="27">
        <f t="shared" si="27"/>
        <v>0.57499999999999996</v>
      </c>
      <c r="Q60" s="3" t="s">
        <v>79</v>
      </c>
      <c r="R60" s="5">
        <v>2.12</v>
      </c>
      <c r="S60" s="5">
        <v>796</v>
      </c>
      <c r="T60" s="5">
        <v>375</v>
      </c>
      <c r="U60" s="5">
        <v>2.61</v>
      </c>
      <c r="V60" s="7">
        <f t="shared" si="30"/>
        <v>1.2311320754716979</v>
      </c>
      <c r="W60" s="5">
        <v>980</v>
      </c>
      <c r="X60" s="5">
        <v>375</v>
      </c>
    </row>
    <row r="61" spans="2:28" x14ac:dyDescent="0.25">
      <c r="B61" s="186" t="s">
        <v>23</v>
      </c>
      <c r="C61" s="186">
        <v>2383</v>
      </c>
      <c r="D61" s="260">
        <f t="shared" si="26"/>
        <v>4.752313337587747E-2</v>
      </c>
      <c r="G61" s="3" t="s">
        <v>80</v>
      </c>
      <c r="H61" s="5"/>
      <c r="I61" s="5"/>
      <c r="J61" s="13" t="e">
        <f t="shared" si="28"/>
        <v>#DIV/0!</v>
      </c>
      <c r="K61" s="189">
        <f t="shared" si="29"/>
        <v>0</v>
      </c>
      <c r="L61" s="263" t="s">
        <v>23</v>
      </c>
      <c r="M61" s="23">
        <v>1338</v>
      </c>
      <c r="N61" s="23">
        <v>1352</v>
      </c>
      <c r="O61" s="27">
        <f t="shared" si="27"/>
        <v>1.0104633781763828</v>
      </c>
      <c r="Q61" s="3" t="s">
        <v>80</v>
      </c>
      <c r="R61" s="5">
        <v>2.11</v>
      </c>
      <c r="S61" s="5">
        <v>309</v>
      </c>
      <c r="T61" s="5">
        <v>146</v>
      </c>
      <c r="U61" s="5"/>
      <c r="V61" s="7">
        <f t="shared" si="30"/>
        <v>0</v>
      </c>
      <c r="W61" s="5"/>
      <c r="X61" s="5">
        <v>146</v>
      </c>
    </row>
    <row r="62" spans="2:28" x14ac:dyDescent="0.25">
      <c r="B62" s="186" t="s">
        <v>84</v>
      </c>
      <c r="C62" s="186">
        <v>142</v>
      </c>
      <c r="D62" s="260">
        <f t="shared" si="26"/>
        <v>2.8318442884492662E-3</v>
      </c>
      <c r="G62" s="3" t="s">
        <v>76</v>
      </c>
      <c r="H62" s="4">
        <v>252000</v>
      </c>
      <c r="I62" s="4">
        <v>276311</v>
      </c>
      <c r="J62" s="13">
        <f t="shared" si="28"/>
        <v>1.0964722222222223</v>
      </c>
      <c r="K62" s="189">
        <f t="shared" si="29"/>
        <v>6.9603333471459673E-3</v>
      </c>
      <c r="L62" s="263" t="s">
        <v>84</v>
      </c>
      <c r="M62" s="23">
        <v>43</v>
      </c>
      <c r="N62" s="23">
        <v>120</v>
      </c>
      <c r="O62" s="27">
        <f t="shared" si="27"/>
        <v>2.7906976744186047</v>
      </c>
      <c r="Q62" s="3" t="s">
        <v>76</v>
      </c>
      <c r="R62" s="5">
        <v>1.03</v>
      </c>
      <c r="S62" s="4">
        <v>8660</v>
      </c>
      <c r="T62" s="4">
        <v>8383</v>
      </c>
      <c r="U62" s="5">
        <v>0.66</v>
      </c>
      <c r="V62" s="7">
        <f t="shared" si="30"/>
        <v>0.64077669902912626</v>
      </c>
      <c r="W62" s="4">
        <v>5519</v>
      </c>
      <c r="X62" s="4">
        <v>8383</v>
      </c>
    </row>
    <row r="63" spans="2:28" x14ac:dyDescent="0.25">
      <c r="B63" s="186" t="s">
        <v>20</v>
      </c>
      <c r="C63" s="186">
        <v>2593</v>
      </c>
      <c r="D63" s="260">
        <f t="shared" si="26"/>
        <v>5.1711072112316528E-2</v>
      </c>
      <c r="G63" s="3" t="s">
        <v>17</v>
      </c>
      <c r="H63" s="4">
        <v>3435663</v>
      </c>
      <c r="I63" s="4">
        <v>2405655</v>
      </c>
      <c r="J63" s="13">
        <f t="shared" si="28"/>
        <v>0.7002010965569091</v>
      </c>
      <c r="K63" s="189">
        <f t="shared" si="29"/>
        <v>6.0598965362321559E-2</v>
      </c>
      <c r="L63" s="263" t="s">
        <v>20</v>
      </c>
      <c r="M63" s="23">
        <v>1537</v>
      </c>
      <c r="N63" s="23">
        <v>1669</v>
      </c>
      <c r="O63" s="27">
        <f t="shared" si="27"/>
        <v>1.0858815875081327</v>
      </c>
      <c r="Q63" s="3" t="s">
        <v>17</v>
      </c>
      <c r="R63" s="5">
        <v>0.77</v>
      </c>
      <c r="S63" s="4">
        <v>20732</v>
      </c>
      <c r="T63" s="4">
        <v>27051</v>
      </c>
      <c r="U63" s="5">
        <v>0.76</v>
      </c>
      <c r="V63" s="7">
        <f t="shared" si="30"/>
        <v>0.98701298701298701</v>
      </c>
      <c r="W63" s="4">
        <v>20607</v>
      </c>
      <c r="X63" s="4">
        <v>27051</v>
      </c>
    </row>
    <row r="64" spans="2:28" x14ac:dyDescent="0.25">
      <c r="B64" s="186" t="s">
        <v>74</v>
      </c>
      <c r="C64" s="186">
        <v>258</v>
      </c>
      <c r="D64" s="260">
        <f t="shared" si="26"/>
        <v>5.1451818761965541E-3</v>
      </c>
      <c r="G64" s="2" t="s">
        <v>23</v>
      </c>
      <c r="H64" s="4">
        <v>1583410</v>
      </c>
      <c r="I64" s="4">
        <v>1926456</v>
      </c>
      <c r="J64" s="13">
        <f t="shared" si="28"/>
        <v>1.21665014115106</v>
      </c>
      <c r="K64" s="189">
        <f t="shared" si="29"/>
        <v>4.8527839784190396E-2</v>
      </c>
      <c r="L64" s="263" t="s">
        <v>74</v>
      </c>
      <c r="M64" s="23">
        <v>209</v>
      </c>
      <c r="N64" s="23">
        <v>161</v>
      </c>
      <c r="O64" s="27">
        <f t="shared" si="27"/>
        <v>0.77033492822966509</v>
      </c>
      <c r="Q64" s="2" t="s">
        <v>23</v>
      </c>
      <c r="R64" s="5">
        <v>1.39</v>
      </c>
      <c r="S64" s="4">
        <v>14617</v>
      </c>
      <c r="T64" s="4">
        <v>10500</v>
      </c>
      <c r="U64" s="5">
        <v>1.37</v>
      </c>
      <c r="V64" s="7">
        <f t="shared" si="30"/>
        <v>0.98561151079136711</v>
      </c>
      <c r="W64" s="4">
        <v>14367</v>
      </c>
      <c r="X64" s="4">
        <v>10500</v>
      </c>
    </row>
    <row r="65" spans="2:24" x14ac:dyDescent="0.25">
      <c r="B65" s="186" t="s">
        <v>21</v>
      </c>
      <c r="C65" s="186">
        <v>1183</v>
      </c>
      <c r="D65" s="260">
        <f t="shared" si="26"/>
        <v>2.3592054881940012E-2</v>
      </c>
      <c r="G65" s="2" t="s">
        <v>19</v>
      </c>
      <c r="H65" s="4">
        <v>1691788</v>
      </c>
      <c r="I65" s="4">
        <v>1734275</v>
      </c>
      <c r="J65" s="13">
        <f t="shared" si="28"/>
        <v>1.0251136667241996</v>
      </c>
      <c r="K65" s="189">
        <f t="shared" si="29"/>
        <v>4.3686759179408612E-2</v>
      </c>
      <c r="L65" s="263" t="s">
        <v>21</v>
      </c>
      <c r="M65" s="23">
        <v>782</v>
      </c>
      <c r="N65" s="23">
        <v>727</v>
      </c>
      <c r="O65" s="27">
        <f t="shared" si="27"/>
        <v>0.92966751918158563</v>
      </c>
      <c r="Q65" s="2" t="s">
        <v>19</v>
      </c>
      <c r="R65" s="5">
        <v>1.01</v>
      </c>
      <c r="S65" s="4">
        <v>10940</v>
      </c>
      <c r="T65" s="4">
        <v>10783</v>
      </c>
      <c r="U65" s="5">
        <v>0.96</v>
      </c>
      <c r="V65" s="7">
        <f t="shared" si="30"/>
        <v>0.95049504950495045</v>
      </c>
      <c r="W65" s="4">
        <v>10342</v>
      </c>
      <c r="X65" s="4">
        <v>10783</v>
      </c>
    </row>
    <row r="66" spans="2:24" x14ac:dyDescent="0.25">
      <c r="B66" s="186" t="s">
        <v>14</v>
      </c>
      <c r="C66" s="186">
        <v>6485</v>
      </c>
      <c r="D66" s="260">
        <f t="shared" si="26"/>
        <v>0.12932753669432034</v>
      </c>
      <c r="G66" s="2" t="s">
        <v>20</v>
      </c>
      <c r="H66" s="4">
        <v>1658874</v>
      </c>
      <c r="I66" s="4">
        <v>1855287</v>
      </c>
      <c r="J66" s="13">
        <f t="shared" si="28"/>
        <v>1.1184013975744993</v>
      </c>
      <c r="K66" s="189">
        <f t="shared" si="29"/>
        <v>4.6735077411418295E-2</v>
      </c>
      <c r="L66" s="263" t="s">
        <v>14</v>
      </c>
      <c r="M66" s="23">
        <f>SUM(U81:AB81)</f>
        <v>4900</v>
      </c>
      <c r="N66" s="23">
        <v>4389</v>
      </c>
      <c r="O66" s="27">
        <f t="shared" si="27"/>
        <v>0.89571428571428569</v>
      </c>
      <c r="Q66" s="2" t="s">
        <v>20</v>
      </c>
      <c r="R66" s="5">
        <v>1.18</v>
      </c>
      <c r="S66" s="4">
        <v>13953</v>
      </c>
      <c r="T66" s="4">
        <v>11868</v>
      </c>
      <c r="U66" s="5">
        <v>1.19</v>
      </c>
      <c r="V66" s="7">
        <f t="shared" si="30"/>
        <v>1.0084745762711864</v>
      </c>
      <c r="W66" s="4">
        <v>14119</v>
      </c>
      <c r="X66" s="4">
        <v>11868</v>
      </c>
    </row>
    <row r="67" spans="2:24" x14ac:dyDescent="0.25">
      <c r="B67" s="186" t="s">
        <v>17</v>
      </c>
      <c r="C67" s="186">
        <v>2271</v>
      </c>
      <c r="D67" s="260">
        <f t="shared" si="26"/>
        <v>4.5289566049776644E-2</v>
      </c>
      <c r="G67" s="2" t="s">
        <v>21</v>
      </c>
      <c r="H67" s="4">
        <v>737768</v>
      </c>
      <c r="I67" s="4">
        <v>662404</v>
      </c>
      <c r="J67" s="13">
        <f t="shared" si="28"/>
        <v>0.89784864618687721</v>
      </c>
      <c r="K67" s="189">
        <f t="shared" si="29"/>
        <v>1.668609881793659E-2</v>
      </c>
      <c r="L67" s="263" t="s">
        <v>17</v>
      </c>
      <c r="M67" s="23">
        <v>1362</v>
      </c>
      <c r="N67" s="23">
        <v>1361</v>
      </c>
      <c r="O67" s="27">
        <f t="shared" si="27"/>
        <v>0.99926578560939794</v>
      </c>
      <c r="Q67" s="2" t="s">
        <v>21</v>
      </c>
      <c r="R67" s="5">
        <v>0.92</v>
      </c>
      <c r="S67" s="4">
        <v>4420</v>
      </c>
      <c r="T67" s="4">
        <v>4826</v>
      </c>
      <c r="U67" s="5">
        <v>1.08</v>
      </c>
      <c r="V67" s="7">
        <f t="shared" si="30"/>
        <v>1.173913043478261</v>
      </c>
      <c r="W67" s="4">
        <v>5225</v>
      </c>
      <c r="X67" s="4">
        <v>4826</v>
      </c>
    </row>
    <row r="68" spans="2:24" x14ac:dyDescent="0.25">
      <c r="B68" s="186" t="s">
        <v>25</v>
      </c>
      <c r="C68" s="186">
        <v>2312</v>
      </c>
      <c r="D68" s="260">
        <f t="shared" si="26"/>
        <v>4.6107211231652838E-2</v>
      </c>
      <c r="G68" s="3" t="s">
        <v>81</v>
      </c>
      <c r="H68" s="4">
        <v>210001</v>
      </c>
      <c r="I68" s="4">
        <v>192684</v>
      </c>
      <c r="J68" s="13">
        <f t="shared" si="28"/>
        <v>0.91753848791196235</v>
      </c>
      <c r="K68" s="189">
        <f t="shared" si="29"/>
        <v>4.8537512826542324E-3</v>
      </c>
      <c r="L68" s="263" t="s">
        <v>25</v>
      </c>
      <c r="M68" s="23">
        <v>1341</v>
      </c>
      <c r="N68" s="23">
        <v>1241</v>
      </c>
      <c r="O68" s="27">
        <f t="shared" si="27"/>
        <v>0.9254287844891872</v>
      </c>
      <c r="Q68" s="3" t="s">
        <v>81</v>
      </c>
      <c r="R68" s="5"/>
      <c r="S68" s="5"/>
      <c r="T68" s="4">
        <v>1269</v>
      </c>
      <c r="U68" s="5"/>
      <c r="V68" s="7" t="e">
        <f t="shared" si="30"/>
        <v>#DIV/0!</v>
      </c>
      <c r="W68" s="5"/>
      <c r="X68" s="4">
        <v>1269</v>
      </c>
    </row>
    <row r="69" spans="2:24" x14ac:dyDescent="0.25">
      <c r="B69" s="186" t="s">
        <v>75</v>
      </c>
      <c r="C69" s="186">
        <v>58</v>
      </c>
      <c r="D69" s="260">
        <f t="shared" si="26"/>
        <v>1.1566687938736439E-3</v>
      </c>
      <c r="G69" s="3" t="s">
        <v>82</v>
      </c>
      <c r="H69" s="4">
        <v>75417</v>
      </c>
      <c r="I69" s="4">
        <v>56759</v>
      </c>
      <c r="J69" s="13">
        <f t="shared" si="28"/>
        <v>0.75260219844332177</v>
      </c>
      <c r="K69" s="189">
        <f t="shared" si="29"/>
        <v>1.4297713824301529E-3</v>
      </c>
      <c r="L69" s="263" t="s">
        <v>75</v>
      </c>
      <c r="M69" s="23">
        <v>33</v>
      </c>
      <c r="N69" s="23">
        <v>33</v>
      </c>
      <c r="O69" s="27">
        <f t="shared" si="27"/>
        <v>1</v>
      </c>
      <c r="Q69" s="3" t="s">
        <v>82</v>
      </c>
      <c r="R69" s="5"/>
      <c r="S69" s="5"/>
      <c r="T69" s="5">
        <v>304</v>
      </c>
      <c r="U69" s="5"/>
      <c r="V69" s="7" t="e">
        <f t="shared" si="30"/>
        <v>#DIV/0!</v>
      </c>
      <c r="W69" s="5"/>
      <c r="X69" s="5">
        <v>304</v>
      </c>
    </row>
    <row r="70" spans="2:24" x14ac:dyDescent="0.25">
      <c r="B70" s="186" t="s">
        <v>77</v>
      </c>
      <c r="C70" s="186">
        <v>31</v>
      </c>
      <c r="D70" s="260">
        <f t="shared" si="26"/>
        <v>6.1821952776005109E-4</v>
      </c>
      <c r="G70" s="3" t="s">
        <v>83</v>
      </c>
      <c r="H70" s="4">
        <v>181000</v>
      </c>
      <c r="I70" s="4">
        <v>242617</v>
      </c>
      <c r="J70" s="13">
        <f t="shared" si="28"/>
        <v>1.3404254143646408</v>
      </c>
      <c r="K70" s="189">
        <f t="shared" si="29"/>
        <v>6.1115742611930514E-3</v>
      </c>
      <c r="L70" s="263" t="s">
        <v>77</v>
      </c>
      <c r="M70" s="23">
        <v>16</v>
      </c>
      <c r="N70" s="23">
        <v>10</v>
      </c>
      <c r="O70" s="27">
        <f t="shared" si="27"/>
        <v>0.625</v>
      </c>
      <c r="Q70" s="3" t="s">
        <v>83</v>
      </c>
      <c r="R70" s="5"/>
      <c r="S70" s="5"/>
      <c r="T70" s="4">
        <v>1494</v>
      </c>
      <c r="U70" s="5"/>
      <c r="V70" s="7" t="e">
        <f t="shared" si="30"/>
        <v>#DIV/0!</v>
      </c>
      <c r="W70" s="5"/>
      <c r="X70" s="4">
        <v>1494</v>
      </c>
    </row>
    <row r="71" spans="2:24" x14ac:dyDescent="0.25">
      <c r="B71" s="186" t="s">
        <v>79</v>
      </c>
      <c r="C71" s="186">
        <v>98</v>
      </c>
      <c r="D71" s="260">
        <f t="shared" si="26"/>
        <v>1.954371410338226E-3</v>
      </c>
      <c r="G71" s="3" t="s">
        <v>22</v>
      </c>
      <c r="H71" s="4">
        <v>2177584</v>
      </c>
      <c r="I71" s="4">
        <v>2002132</v>
      </c>
      <c r="J71" s="13">
        <f t="shared" si="28"/>
        <v>0.91942813687095426</v>
      </c>
      <c r="K71" s="189">
        <f t="shared" si="29"/>
        <v>5.0434134453525375E-2</v>
      </c>
      <c r="L71" s="263" t="s">
        <v>79</v>
      </c>
      <c r="M71" s="23">
        <v>59</v>
      </c>
      <c r="N71" s="23">
        <v>62</v>
      </c>
      <c r="O71" s="27">
        <f t="shared" si="27"/>
        <v>1.0508474576271187</v>
      </c>
      <c r="Q71" s="3" t="s">
        <v>22</v>
      </c>
      <c r="R71" s="5">
        <v>1.48</v>
      </c>
      <c r="S71" s="4">
        <v>18177</v>
      </c>
      <c r="T71" s="4">
        <v>12320</v>
      </c>
      <c r="U71" s="5">
        <v>1.4</v>
      </c>
      <c r="V71" s="7">
        <f t="shared" si="30"/>
        <v>0.94594594594594594</v>
      </c>
      <c r="W71" s="4">
        <v>17265</v>
      </c>
      <c r="X71" s="4">
        <v>12320</v>
      </c>
    </row>
    <row r="72" spans="2:24" x14ac:dyDescent="0.25">
      <c r="B72" s="186" t="s">
        <v>172</v>
      </c>
      <c r="C72" s="186">
        <v>538</v>
      </c>
      <c r="D72" s="260">
        <f t="shared" si="26"/>
        <v>1.0729100191448628E-2</v>
      </c>
      <c r="G72" s="3" t="s">
        <v>84</v>
      </c>
      <c r="H72" s="4">
        <v>334000</v>
      </c>
      <c r="I72" s="4">
        <v>298780</v>
      </c>
      <c r="J72" s="13">
        <f t="shared" si="28"/>
        <v>0.89455089820359279</v>
      </c>
      <c r="K72" s="189">
        <f t="shared" si="29"/>
        <v>7.5263322758061463E-3</v>
      </c>
      <c r="L72" s="263" t="s">
        <v>172</v>
      </c>
      <c r="M72" s="23">
        <v>294</v>
      </c>
      <c r="N72" s="23">
        <v>350</v>
      </c>
      <c r="O72" s="27">
        <f t="shared" si="27"/>
        <v>1.1904761904761905</v>
      </c>
      <c r="Q72" s="3" t="s">
        <v>84</v>
      </c>
      <c r="R72" s="5">
        <v>0.51</v>
      </c>
      <c r="S72" s="4">
        <v>1046</v>
      </c>
      <c r="T72" s="4">
        <v>2060</v>
      </c>
      <c r="U72" s="5"/>
      <c r="V72" s="7">
        <f t="shared" si="30"/>
        <v>0</v>
      </c>
      <c r="W72" s="5"/>
      <c r="X72" s="4">
        <v>2060</v>
      </c>
    </row>
    <row r="73" spans="2:24" x14ac:dyDescent="0.25">
      <c r="B73" s="186" t="s">
        <v>80</v>
      </c>
      <c r="C73" s="186">
        <v>37</v>
      </c>
      <c r="D73" s="260">
        <f t="shared" si="26"/>
        <v>7.3787492022973835E-4</v>
      </c>
      <c r="G73" s="3" t="s">
        <v>14</v>
      </c>
      <c r="H73" s="4">
        <v>2149183</v>
      </c>
      <c r="I73" s="4">
        <v>1577144</v>
      </c>
      <c r="J73" s="13">
        <f t="shared" si="28"/>
        <v>0.7338342058354268</v>
      </c>
      <c r="K73" s="189">
        <f t="shared" si="29"/>
        <v>3.9728595591384995E-2</v>
      </c>
      <c r="L73" s="263" t="s">
        <v>80</v>
      </c>
      <c r="M73" s="23">
        <v>25</v>
      </c>
      <c r="N73" s="23">
        <v>24</v>
      </c>
      <c r="O73" s="27">
        <f t="shared" si="27"/>
        <v>0.96</v>
      </c>
      <c r="Q73" s="3" t="s">
        <v>14</v>
      </c>
      <c r="R73" s="5">
        <v>0.86</v>
      </c>
      <c r="S73" s="4">
        <v>47332</v>
      </c>
      <c r="T73" s="4">
        <v>55318</v>
      </c>
      <c r="U73" s="5">
        <v>0.86</v>
      </c>
      <c r="V73" s="7">
        <f t="shared" si="30"/>
        <v>1</v>
      </c>
      <c r="W73" s="4">
        <v>47626</v>
      </c>
      <c r="X73" s="4">
        <v>55318</v>
      </c>
    </row>
    <row r="74" spans="2:24" x14ac:dyDescent="0.25">
      <c r="B74" s="186" t="s">
        <v>76</v>
      </c>
      <c r="C74" s="186">
        <v>1015</v>
      </c>
      <c r="D74" s="260">
        <f t="shared" si="26"/>
        <v>2.024170389278877E-2</v>
      </c>
      <c r="G74" s="3" t="s">
        <v>15</v>
      </c>
      <c r="H74" s="4">
        <v>4257931</v>
      </c>
      <c r="I74" s="4">
        <v>4639120</v>
      </c>
      <c r="J74" s="13">
        <f t="shared" si="28"/>
        <v>1.0895244662254977</v>
      </c>
      <c r="K74" s="189">
        <f t="shared" si="29"/>
        <v>0.11686042769709422</v>
      </c>
      <c r="L74" s="263" t="s">
        <v>76</v>
      </c>
      <c r="M74" s="23">
        <v>722</v>
      </c>
      <c r="N74" s="23">
        <v>641</v>
      </c>
      <c r="O74" s="27">
        <f t="shared" si="27"/>
        <v>0.88781163434903043</v>
      </c>
      <c r="Q74" s="3" t="s">
        <v>15</v>
      </c>
      <c r="R74" s="5">
        <v>1.32</v>
      </c>
      <c r="S74" s="4">
        <v>38097</v>
      </c>
      <c r="T74" s="4">
        <v>28955</v>
      </c>
      <c r="U74" s="5">
        <v>1.33</v>
      </c>
      <c r="V74" s="7">
        <f t="shared" si="30"/>
        <v>1.0075757575757576</v>
      </c>
      <c r="W74" s="4">
        <v>38572</v>
      </c>
      <c r="X74" s="4">
        <v>28955</v>
      </c>
    </row>
    <row r="75" spans="2:24" x14ac:dyDescent="0.25">
      <c r="B75" s="186" t="s">
        <v>18</v>
      </c>
      <c r="C75" s="186">
        <v>1878</v>
      </c>
      <c r="D75" s="260">
        <f t="shared" si="26"/>
        <v>3.7452137843012122E-2</v>
      </c>
      <c r="G75" s="3" t="s">
        <v>85</v>
      </c>
      <c r="H75" s="4">
        <f>H51+H57+H60+H61</f>
        <v>44367</v>
      </c>
      <c r="I75" s="4">
        <f>I51+I57+I60+I61</f>
        <v>55912</v>
      </c>
      <c r="J75" s="13">
        <f t="shared" si="28"/>
        <v>1.2602159262514931</v>
      </c>
      <c r="K75" s="189">
        <f t="shared" si="29"/>
        <v>1.4084352707840996E-3</v>
      </c>
      <c r="L75" s="263" t="s">
        <v>18</v>
      </c>
      <c r="M75" s="23">
        <v>1259</v>
      </c>
      <c r="N75" s="23">
        <v>967</v>
      </c>
      <c r="O75" s="27">
        <f t="shared" si="27"/>
        <v>0.76806989674344717</v>
      </c>
      <c r="Q75" s="3" t="s">
        <v>85</v>
      </c>
      <c r="R75" s="191">
        <f>S75/T75</f>
        <v>2.1217948717948718</v>
      </c>
      <c r="S75" s="4">
        <f>S51+S57+S60+S61</f>
        <v>6951</v>
      </c>
      <c r="T75" s="4">
        <f>T51+T57+T60+T61</f>
        <v>3276</v>
      </c>
      <c r="U75" s="191">
        <f>W75/X75</f>
        <v>1.8556166056166057</v>
      </c>
      <c r="V75" s="7">
        <f>U75/R75</f>
        <v>0.87455042439936703</v>
      </c>
      <c r="W75" s="4">
        <f>W51+W57+W60+W61</f>
        <v>6079</v>
      </c>
      <c r="X75" s="4">
        <f>X51+X57+X60+X61</f>
        <v>3276</v>
      </c>
    </row>
    <row r="76" spans="2:24" x14ac:dyDescent="0.25">
      <c r="C76" s="129">
        <f>SUM(C44:C75)</f>
        <v>50144</v>
      </c>
      <c r="G76" s="3" t="s">
        <v>33</v>
      </c>
      <c r="H76" s="4">
        <f>H50+H52+H53+H54+H55+H56+H58+H59+H62</f>
        <v>252000</v>
      </c>
      <c r="I76" s="4">
        <f>I50+I52+I53+I54+I55+I56+I58+I59+I62</f>
        <v>276311</v>
      </c>
      <c r="J76" s="13">
        <f t="shared" si="28"/>
        <v>1.0964722222222223</v>
      </c>
      <c r="K76" s="189">
        <f t="shared" si="29"/>
        <v>6.9603333471459673E-3</v>
      </c>
      <c r="L76" s="26" t="s">
        <v>85</v>
      </c>
      <c r="M76" s="26">
        <f>M47+M64+M71+M73</f>
        <v>425</v>
      </c>
      <c r="N76" s="26">
        <f>N47+N64+N71+N73</f>
        <v>359</v>
      </c>
      <c r="O76" s="27">
        <f t="shared" si="27"/>
        <v>0.8447058823529412</v>
      </c>
      <c r="Q76" s="3" t="s">
        <v>33</v>
      </c>
      <c r="R76" s="191">
        <f>S76/T76</f>
        <v>1.012264713397496</v>
      </c>
      <c r="S76" s="4">
        <f>S50+S52+S53+S54+S55+S56+S58+S59+S62</f>
        <v>11885</v>
      </c>
      <c r="T76" s="4">
        <f>T50+T52+T53+T54+T55+T56+T58+T59+T62</f>
        <v>11741</v>
      </c>
      <c r="U76" s="191">
        <f>W76/X76</f>
        <v>0.60420747806830766</v>
      </c>
      <c r="V76" s="7">
        <f>U76/R76</f>
        <v>0.59688683214135463</v>
      </c>
      <c r="W76" s="4">
        <f>W50+W52+W53+W54+W55+W56+W58+W59+W62</f>
        <v>7094</v>
      </c>
      <c r="X76" s="4">
        <f>X50+X52+X53+X54+X55+X56+X58+X59+X62</f>
        <v>11741</v>
      </c>
    </row>
    <row r="77" spans="2:24" x14ac:dyDescent="0.25">
      <c r="B77" s="11" t="s">
        <v>33</v>
      </c>
      <c r="C77" s="129">
        <f>C44+C46+C48+C49+C55+C59+C60+C69+C70+C74</f>
        <v>1502</v>
      </c>
      <c r="D77" s="256">
        <f>C77/C76</f>
        <v>2.9953733248245053E-2</v>
      </c>
      <c r="I77" s="4">
        <f>SUM(I45:I76)</f>
        <v>39697955</v>
      </c>
      <c r="L77" s="26" t="s">
        <v>33</v>
      </c>
      <c r="M77" s="26">
        <f>SUM(M44+M46+M48+M49+M55+M59+M60+M69+M70+M74)</f>
        <v>994</v>
      </c>
      <c r="N77" s="26">
        <f>SUM(N44+N46+N48+N49+N55+N59+N60+N69+N70+N74)</f>
        <v>886</v>
      </c>
      <c r="O77" s="27">
        <f t="shared" si="27"/>
        <v>0.89134808853118708</v>
      </c>
    </row>
    <row r="78" spans="2:24" x14ac:dyDescent="0.25">
      <c r="B78" s="11" t="s">
        <v>78</v>
      </c>
      <c r="C78" s="186">
        <f>C47+C64+C71+C73</f>
        <v>593</v>
      </c>
      <c r="D78" s="256">
        <f>C78/C76</f>
        <v>1.1825941289087429E-2</v>
      </c>
    </row>
    <row r="81" spans="3:28" x14ac:dyDescent="0.25">
      <c r="U81" s="275">
        <v>715</v>
      </c>
      <c r="V81" s="275">
        <v>586</v>
      </c>
      <c r="W81" s="275">
        <v>720</v>
      </c>
      <c r="X81" s="275">
        <v>622</v>
      </c>
      <c r="Y81" s="275">
        <v>620</v>
      </c>
      <c r="Z81" s="275">
        <v>618</v>
      </c>
      <c r="AA81" s="275">
        <v>539</v>
      </c>
      <c r="AB81" s="275">
        <v>480</v>
      </c>
    </row>
    <row r="84" spans="3:28" x14ac:dyDescent="0.25">
      <c r="C84" s="11" t="s">
        <v>232</v>
      </c>
      <c r="D84" s="11" t="s">
        <v>233</v>
      </c>
      <c r="E84" s="11" t="s">
        <v>234</v>
      </c>
      <c r="F84" s="11" t="s">
        <v>235</v>
      </c>
      <c r="G84" s="11" t="s">
        <v>236</v>
      </c>
      <c r="H84" s="11" t="s">
        <v>55</v>
      </c>
      <c r="I84" s="11" t="s">
        <v>56</v>
      </c>
      <c r="J84" s="11" t="s">
        <v>106</v>
      </c>
      <c r="K84" s="11" t="s">
        <v>107</v>
      </c>
      <c r="L84" s="11" t="s">
        <v>237</v>
      </c>
      <c r="M84" s="11" t="s">
        <v>187</v>
      </c>
      <c r="N84" s="11" t="s">
        <v>238</v>
      </c>
      <c r="O84" s="11" t="s">
        <v>232</v>
      </c>
    </row>
    <row r="85" spans="3:28" x14ac:dyDescent="0.25">
      <c r="C85" s="282">
        <v>1230</v>
      </c>
      <c r="D85" s="282">
        <v>1647</v>
      </c>
      <c r="E85" s="282">
        <v>906</v>
      </c>
      <c r="F85" s="282">
        <v>910</v>
      </c>
      <c r="G85" s="282">
        <v>1042</v>
      </c>
      <c r="H85" s="186">
        <v>1019</v>
      </c>
      <c r="I85" s="186">
        <v>973</v>
      </c>
      <c r="J85" s="186">
        <v>1072</v>
      </c>
      <c r="K85" s="186">
        <v>1181</v>
      </c>
      <c r="L85" s="186">
        <v>1055</v>
      </c>
      <c r="M85" s="186">
        <v>1295</v>
      </c>
      <c r="N85" s="186">
        <v>1288</v>
      </c>
      <c r="O85" s="186">
        <v>1333</v>
      </c>
    </row>
    <row r="88" spans="3:28" x14ac:dyDescent="0.25">
      <c r="C88" s="11" t="s">
        <v>239</v>
      </c>
    </row>
    <row r="89" spans="3:28" x14ac:dyDescent="0.25">
      <c r="C89" s="129">
        <f>SUM(D85:O85)</f>
        <v>13721</v>
      </c>
    </row>
    <row r="90" spans="3:28" x14ac:dyDescent="0.25">
      <c r="C90" s="11">
        <v>30</v>
      </c>
      <c r="D90" s="11" t="s">
        <v>240</v>
      </c>
    </row>
    <row r="91" spans="3:28" x14ac:dyDescent="0.25">
      <c r="C91" s="129">
        <f>C89/C90</f>
        <v>457.36666666666667</v>
      </c>
      <c r="D91" s="129"/>
    </row>
    <row r="92" spans="3:28" x14ac:dyDescent="0.25">
      <c r="C92" s="283">
        <f>C91/12</f>
        <v>38.113888888888887</v>
      </c>
    </row>
  </sheetData>
  <mergeCells count="12">
    <mergeCell ref="X43:X44"/>
    <mergeCell ref="G43:G44"/>
    <mergeCell ref="H43:H44"/>
    <mergeCell ref="I43:I44"/>
    <mergeCell ref="J43:J44"/>
    <mergeCell ref="Q43:Q44"/>
    <mergeCell ref="R43:R44"/>
    <mergeCell ref="S43:S44"/>
    <mergeCell ref="T43:T44"/>
    <mergeCell ref="U43:U44"/>
    <mergeCell ref="V43:V44"/>
    <mergeCell ref="W43:W44"/>
  </mergeCells>
  <conditionalFormatting sqref="D4">
    <cfRule type="cellIs" dxfId="41" priority="14" operator="lessThan">
      <formula>0.78</formula>
    </cfRule>
  </conditionalFormatting>
  <conditionalFormatting sqref="D5">
    <cfRule type="cellIs" dxfId="40" priority="13" operator="lessThan">
      <formula>0.92</formula>
    </cfRule>
  </conditionalFormatting>
  <conditionalFormatting sqref="D6">
    <cfRule type="cellIs" dxfId="39" priority="12" operator="lessThan">
      <formula>0.85</formula>
    </cfRule>
  </conditionalFormatting>
  <conditionalFormatting sqref="D7">
    <cfRule type="cellIs" dxfId="38" priority="11" operator="lessThan">
      <formula>0.86</formula>
    </cfRule>
  </conditionalFormatting>
  <conditionalFormatting sqref="D8">
    <cfRule type="cellIs" dxfId="37" priority="2" operator="lessThan">
      <formula>0.82</formula>
    </cfRule>
  </conditionalFormatting>
  <conditionalFormatting sqref="D9">
    <cfRule type="cellIs" dxfId="36" priority="10" operator="lessThan">
      <formula>0.94</formula>
    </cfRule>
  </conditionalFormatting>
  <conditionalFormatting sqref="D10">
    <cfRule type="cellIs" dxfId="35" priority="9" operator="lessThan">
      <formula>0.822</formula>
    </cfRule>
  </conditionalFormatting>
  <conditionalFormatting sqref="D11">
    <cfRule type="cellIs" dxfId="34" priority="8" operator="lessThan">
      <formula>0.85</formula>
    </cfRule>
  </conditionalFormatting>
  <conditionalFormatting sqref="D12">
    <cfRule type="cellIs" dxfId="33" priority="7" operator="lessThan">
      <formula>0.7</formula>
    </cfRule>
  </conditionalFormatting>
  <conditionalFormatting sqref="D13">
    <cfRule type="cellIs" dxfId="32" priority="6" operator="lessThan">
      <formula>0.75</formula>
    </cfRule>
  </conditionalFormatting>
  <conditionalFormatting sqref="D14:D15">
    <cfRule type="cellIs" dxfId="31" priority="5" operator="lessThan">
      <formula>0.7</formula>
    </cfRule>
  </conditionalFormatting>
  <conditionalFormatting sqref="D16">
    <cfRule type="cellIs" dxfId="30" priority="4" operator="lessThan">
      <formula>0.84</formula>
    </cfRule>
  </conditionalFormatting>
  <conditionalFormatting sqref="D17:D18">
    <cfRule type="cellIs" dxfId="29" priority="3" operator="lessThan">
      <formula>0.7</formula>
    </cfRule>
  </conditionalFormatting>
  <conditionalFormatting sqref="D19">
    <cfRule type="cellIs" dxfId="28" priority="15" operator="lessThan">
      <formula>0.762</formula>
    </cfRule>
  </conditionalFormatting>
  <conditionalFormatting sqref="L43:L75">
    <cfRule type="cellIs" dxfId="27" priority="1" operator="lessThan">
      <formula>0</formula>
    </cfRule>
  </conditionalFormatting>
  <pageMargins left="0.7" right="0.7" top="0.75" bottom="0.75" header="0.3" footer="0.3"/>
  <ignoredErrors>
    <ignoredError sqref="AL39:AL40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155A-A65C-4AB4-B11F-B26B9ECD22FD}">
  <dimension ref="B3:N73"/>
  <sheetViews>
    <sheetView topLeftCell="A55" zoomScale="110" workbookViewId="0">
      <selection activeCell="B58" sqref="B58:C73"/>
    </sheetView>
  </sheetViews>
  <sheetFormatPr baseColWidth="10" defaultColWidth="8.85546875" defaultRowHeight="15" x14ac:dyDescent="0.25"/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VLOOKUP(B4,NOV!$B$3:$H$19,NOV!$G$2,FALSE)</f>
        <v>1.0141025641025641</v>
      </c>
      <c r="D4" s="27">
        <f>VLOOKUP(B4,NOV!$B$3:$H$19,NOV!$H$2,FALSE)</f>
        <v>1.0413043478260868</v>
      </c>
      <c r="E4" s="261">
        <v>1</v>
      </c>
      <c r="F4" s="16">
        <f>VLOOKUP(B4,NOV!$AA$43:$AB$58,NOV!$AB$42,FALSE)</f>
        <v>0.95243015506856332</v>
      </c>
      <c r="G4" s="16">
        <v>1.0630122437528811</v>
      </c>
      <c r="H4" s="16">
        <v>0.86</v>
      </c>
      <c r="I4" s="261">
        <v>1</v>
      </c>
      <c r="J4" s="30">
        <v>1</v>
      </c>
      <c r="K4" s="16">
        <f>VLOOKUP(B4,NOV!$G$43:$J$76,NOV!$J$42,FALSE)</f>
        <v>1.0821615480290658</v>
      </c>
      <c r="L4" s="16">
        <f>VLOOKUP(B4,NOV!$Q$43:$V$76,NOV!$V$42,FALSE)</f>
        <v>1.0505050505050506</v>
      </c>
      <c r="M4" s="16">
        <f>VLOOKUP(B4,NOV!$L$43:$O$77,NOV!$O$42,FALSE)</f>
        <v>1.2513238289205704</v>
      </c>
    </row>
    <row r="5" spans="2:13" x14ac:dyDescent="0.25">
      <c r="B5" s="14" t="s">
        <v>14</v>
      </c>
      <c r="C5" s="27">
        <f>VLOOKUP(B5,NOV!$B$3:$H$19,NOV!$G$2,FALSE)</f>
        <v>1.0402439024390244</v>
      </c>
      <c r="D5" s="27">
        <f>VLOOKUP(B5,NOV!$B$3:$H$19,NOV!$H$2,FALSE)</f>
        <v>1.012087912087912</v>
      </c>
      <c r="E5" s="261">
        <v>1</v>
      </c>
      <c r="F5" s="16">
        <f>VLOOKUP(B5,NOV!$AA$43:$AB$58,NOV!$AB$42,FALSE)</f>
        <v>0.92592592592592582</v>
      </c>
      <c r="G5" s="16">
        <v>1.1295504392007321</v>
      </c>
      <c r="H5" s="16">
        <v>0.86</v>
      </c>
      <c r="I5" s="261">
        <v>1</v>
      </c>
      <c r="J5" s="30">
        <v>1</v>
      </c>
      <c r="K5" s="16">
        <f>VLOOKUP(B5,NOV!$G$43:$J$76,NOV!$J$42,FALSE)</f>
        <v>0.7338342058354268</v>
      </c>
      <c r="L5" s="16">
        <f>VLOOKUP(B5,NOV!$Q$43:$V$76,NOV!$V$42,FALSE)</f>
        <v>1</v>
      </c>
      <c r="M5" s="16">
        <f>VLOOKUP(B5,NOV!$L$43:$O$77,NOV!$O$42,FALSE)</f>
        <v>0.89571428571428569</v>
      </c>
    </row>
    <row r="6" spans="2:13" x14ac:dyDescent="0.25">
      <c r="B6" s="14" t="s">
        <v>15</v>
      </c>
      <c r="C6" s="27">
        <f>VLOOKUP(B6,NOV!$B$3:$H$19,NOV!$G$2,FALSE)</f>
        <v>1.0336956521739129</v>
      </c>
      <c r="D6" s="27">
        <f>VLOOKUP(B6,NOV!$B$3:$H$19,NOV!$H$2,FALSE)</f>
        <v>1.0184782608695653</v>
      </c>
      <c r="E6" s="261">
        <v>1</v>
      </c>
      <c r="F6" s="16">
        <f>VLOOKUP(B6,NOV!$AA$43:$AB$58,NOV!$AB$42,FALSE)</f>
        <v>1.1047092270853816</v>
      </c>
      <c r="G6" s="16">
        <v>1.4163780583175061</v>
      </c>
      <c r="H6" s="16">
        <v>0.86</v>
      </c>
      <c r="I6" s="261">
        <v>1</v>
      </c>
      <c r="J6" s="30">
        <v>1</v>
      </c>
      <c r="K6" s="16">
        <f>VLOOKUP(B6,NOV!$G$43:$J$76,NOV!$J$42,FALSE)</f>
        <v>1.0895244662254977</v>
      </c>
      <c r="L6" s="16">
        <f>VLOOKUP(B6,NOV!$Q$43:$V$76,NOV!$V$42,FALSE)</f>
        <v>1.0075757575757576</v>
      </c>
      <c r="M6" s="16">
        <f>VLOOKUP(B6,NOV!$L$43:$O$77,NOV!$O$42,FALSE)</f>
        <v>1.1495865697820096</v>
      </c>
    </row>
    <row r="7" spans="2:13" x14ac:dyDescent="0.25">
      <c r="B7" s="14" t="s">
        <v>16</v>
      </c>
      <c r="C7" s="27">
        <f>VLOOKUP(B7,NOV!$B$3:$H$19,NOV!$G$2,FALSE)</f>
        <v>1.0294117647058825</v>
      </c>
      <c r="D7" s="27">
        <f>VLOOKUP(B7,NOV!$B$3:$H$19,NOV!$H$2,FALSE)</f>
        <v>1.0180851063829788</v>
      </c>
      <c r="E7" s="261">
        <v>1</v>
      </c>
      <c r="F7" s="16">
        <f>VLOOKUP(B7,NOV!$AA$43:$AB$58,NOV!$AB$42,FALSE)</f>
        <v>1.0382114210845874</v>
      </c>
      <c r="G7" s="16">
        <v>1.5865058424425182</v>
      </c>
      <c r="H7" s="16">
        <v>1</v>
      </c>
      <c r="I7" s="261">
        <v>1</v>
      </c>
      <c r="J7" s="30">
        <v>1</v>
      </c>
      <c r="K7" s="16">
        <f>VLOOKUP(B7,NOV!$G$43:$J$76,NOV!$J$42,FALSE)</f>
        <v>0.95637576110771105</v>
      </c>
      <c r="L7" s="16">
        <f>VLOOKUP(B7,NOV!$Q$43:$V$76,NOV!$V$42,FALSE)</f>
        <v>1.0097087378640777</v>
      </c>
      <c r="M7" s="16">
        <f>VLOOKUP(B7,NOV!$L$43:$O$77,NOV!$O$42,FALSE)</f>
        <v>1.1167883211678833</v>
      </c>
    </row>
    <row r="8" spans="2:13" x14ac:dyDescent="0.25">
      <c r="B8" s="14" t="s">
        <v>17</v>
      </c>
      <c r="C8" s="27">
        <f>VLOOKUP(B8,NOV!$B$3:$H$19,NOV!$G$2,FALSE)</f>
        <v>1.0313953488372094</v>
      </c>
      <c r="D8" s="27">
        <f>VLOOKUP(B8,NOV!$B$3:$H$19,NOV!$H$2,FALSE)</f>
        <v>1.0777777777777777</v>
      </c>
      <c r="E8" s="261">
        <v>1</v>
      </c>
      <c r="F8" s="16">
        <f>VLOOKUP(B8,NOV!$AA$43:$AB$58,NOV!$AB$42,FALSE)</f>
        <v>1.0886912904696762</v>
      </c>
      <c r="G8" s="16">
        <v>1.2999518536350503</v>
      </c>
      <c r="H8" s="16">
        <v>0.86</v>
      </c>
      <c r="I8" s="261">
        <v>1</v>
      </c>
      <c r="J8" s="30">
        <v>1</v>
      </c>
      <c r="K8" s="16">
        <f>VLOOKUP(B8,NOV!$G$43:$J$76,NOV!$J$42,FALSE)</f>
        <v>0.7002010965569091</v>
      </c>
      <c r="L8" s="16">
        <f>VLOOKUP(B8,NOV!$Q$43:$V$76,NOV!$V$42,FALSE)</f>
        <v>0.98701298701298701</v>
      </c>
      <c r="M8" s="16">
        <f>VLOOKUP(B8,NOV!$L$43:$O$77,NOV!$O$42,FALSE)</f>
        <v>0.99926578560939794</v>
      </c>
    </row>
    <row r="9" spans="2:13" x14ac:dyDescent="0.25">
      <c r="B9" s="14" t="s">
        <v>18</v>
      </c>
      <c r="C9" s="27">
        <f>VLOOKUP(B9,NOV!$B$3:$H$19,NOV!$G$2,FALSE)</f>
        <v>1.0563829787234043</v>
      </c>
      <c r="D9" s="27">
        <f>VLOOKUP(B9,NOV!$B$3:$H$19,NOV!$H$2,FALSE)</f>
        <v>1.0421052631578949</v>
      </c>
      <c r="E9" s="261">
        <v>1</v>
      </c>
      <c r="F9" s="16">
        <f>VLOOKUP(B9,NOV!$AA$43:$AB$58,NOV!$AB$42,FALSE)</f>
        <v>0.99951652601969054</v>
      </c>
      <c r="G9" s="16">
        <v>1.0360075805432722</v>
      </c>
      <c r="H9" s="261">
        <v>0.86</v>
      </c>
      <c r="I9" s="261">
        <v>1</v>
      </c>
      <c r="J9" s="30">
        <v>1</v>
      </c>
      <c r="K9" s="16">
        <f>VLOOKUP(B9,NOV!$G$43:$J$76,NOV!$J$42,FALSE)</f>
        <v>1.0300517313142925</v>
      </c>
      <c r="L9" s="16">
        <f>VLOOKUP(B9,NOV!$Q$43:$V$76,NOV!$V$42,FALSE)</f>
        <v>0.9882352941176471</v>
      </c>
      <c r="M9" s="16">
        <f>VLOOKUP(B9,NOV!$L$43:$O$77,NOV!$O$42,FALSE)</f>
        <v>0.76806989674344717</v>
      </c>
    </row>
    <row r="10" spans="2:13" x14ac:dyDescent="0.25">
      <c r="B10" s="14" t="s">
        <v>19</v>
      </c>
      <c r="C10" s="27">
        <f>VLOOKUP(B10,NOV!$B$3:$H$19,NOV!$G$2,FALSE)</f>
        <v>1.0942857142857143</v>
      </c>
      <c r="D10" s="27">
        <f>VLOOKUP(B10,NOV!$B$3:$H$19,NOV!$H$2,FALSE)</f>
        <v>1.1349397590361445</v>
      </c>
      <c r="E10" s="261">
        <v>1</v>
      </c>
      <c r="F10" s="16">
        <f>VLOOKUP(B10,NOV!$AA$43:$AB$58,NOV!$AB$42,FALSE)</f>
        <v>1.0679722394008107</v>
      </c>
      <c r="G10" s="16">
        <v>0.99403094164940964</v>
      </c>
      <c r="H10" s="16">
        <v>0.86</v>
      </c>
      <c r="I10" s="261">
        <v>1</v>
      </c>
      <c r="J10" s="30">
        <v>1</v>
      </c>
      <c r="K10" s="16">
        <f>VLOOKUP(B10,NOV!$G$43:$J$76,NOV!$J$42,FALSE)</f>
        <v>1.0251136667241996</v>
      </c>
      <c r="L10" s="16">
        <f>VLOOKUP(B10,NOV!$Q$43:$V$76,NOV!$V$42,FALSE)</f>
        <v>0.95049504950495045</v>
      </c>
      <c r="M10" s="16">
        <f>VLOOKUP(B10,NOV!$L$43:$O$77,NOV!$O$42,FALSE)</f>
        <v>0.91085003455425018</v>
      </c>
    </row>
    <row r="11" spans="2:13" x14ac:dyDescent="0.25">
      <c r="B11" s="14" t="s">
        <v>20</v>
      </c>
      <c r="C11" s="27">
        <f>VLOOKUP(B11,NOV!$B$3:$H$19,NOV!$G$2,FALSE)</f>
        <v>0.96142857142857152</v>
      </c>
      <c r="D11" s="27">
        <f>VLOOKUP(B11,NOV!$B$3:$H$19,NOV!$H$2,FALSE)</f>
        <v>1.1951807228915663</v>
      </c>
      <c r="E11" s="261">
        <v>1</v>
      </c>
      <c r="F11" s="16">
        <f>VLOOKUP(B11,NOV!$AA$43:$AB$58,NOV!$AB$42,FALSE)</f>
        <v>1.0959733575537389</v>
      </c>
      <c r="G11" s="16">
        <v>0.96153846153846123</v>
      </c>
      <c r="H11" s="16">
        <v>0.86</v>
      </c>
      <c r="I11" s="261">
        <v>1</v>
      </c>
      <c r="J11" s="30">
        <v>1</v>
      </c>
      <c r="K11" s="16">
        <f>VLOOKUP(B11,NOV!$G$43:$J$76,NOV!$J$42,FALSE)</f>
        <v>1.1184013975744993</v>
      </c>
      <c r="L11" s="16">
        <f>VLOOKUP(B11,NOV!$Q$43:$V$76,NOV!$V$42,FALSE)</f>
        <v>1.0084745762711864</v>
      </c>
      <c r="M11" s="16">
        <f>VLOOKUP(B11,NOV!$L$43:$O$77,NOV!$O$42,FALSE)</f>
        <v>1.0858815875081327</v>
      </c>
    </row>
    <row r="12" spans="2:13" x14ac:dyDescent="0.25">
      <c r="B12" s="14" t="s">
        <v>21</v>
      </c>
      <c r="C12" s="27">
        <f>VLOOKUP(B12,NOV!$B$3:$H$19,NOV!$G$2,FALSE)</f>
        <v>0.8342857142857143</v>
      </c>
      <c r="D12" s="27">
        <f>VLOOKUP(B12,NOV!$B$3:$H$19,NOV!$H$2,FALSE)</f>
        <v>1.0915662650602411</v>
      </c>
      <c r="E12" s="261">
        <v>1</v>
      </c>
      <c r="F12" s="16">
        <f>VLOOKUP(B12,NOV!$AA$43:$AB$58,NOV!$AB$42,FALSE)</f>
        <v>0.95610746641674482</v>
      </c>
      <c r="G12" s="16">
        <v>0.86286594761171065</v>
      </c>
      <c r="H12" s="16">
        <v>0.86</v>
      </c>
      <c r="I12" s="261">
        <v>1</v>
      </c>
      <c r="J12" s="30">
        <v>1</v>
      </c>
      <c r="K12" s="16">
        <f>VLOOKUP(B12,NOV!$G$43:$J$76,NOV!$J$42,FALSE)</f>
        <v>0.89784864618687721</v>
      </c>
      <c r="L12" s="16">
        <f>VLOOKUP(B12,NOV!$Q$43:$V$76,NOV!$V$42,FALSE)</f>
        <v>1.173913043478261</v>
      </c>
      <c r="M12" s="16">
        <f>VLOOKUP(B12,NOV!$L$43:$O$77,NOV!$O$42,FALSE)</f>
        <v>0.92966751918158563</v>
      </c>
    </row>
    <row r="13" spans="2:13" x14ac:dyDescent="0.25">
      <c r="B13" s="14" t="s">
        <v>22</v>
      </c>
      <c r="C13" s="27">
        <f>VLOOKUP(B13,NOV!$B$3:$H$19,NOV!$G$2,FALSE)</f>
        <v>1.0971428571428572</v>
      </c>
      <c r="D13" s="27">
        <f>VLOOKUP(B13,NOV!$B$3:$H$19,NOV!$H$2,FALSE)</f>
        <v>1.093181818181818</v>
      </c>
      <c r="E13" s="261">
        <v>1</v>
      </c>
      <c r="F13" s="16">
        <f>VLOOKUP(B13,NOV!$AA$43:$AB$58,NOV!$AB$42,FALSE)</f>
        <v>1.1111111111111112</v>
      </c>
      <c r="G13" s="16">
        <v>1.0974337575631126</v>
      </c>
      <c r="H13" s="16">
        <v>0.86</v>
      </c>
      <c r="I13" s="261">
        <v>1</v>
      </c>
      <c r="J13" s="30">
        <v>1</v>
      </c>
      <c r="K13" s="16">
        <f>VLOOKUP(B13,NOV!$G$43:$J$76,NOV!$J$42,FALSE)</f>
        <v>0.91942813687095426</v>
      </c>
      <c r="L13" s="16">
        <f>VLOOKUP(B13,NOV!$Q$43:$V$76,NOV!$V$42,FALSE)</f>
        <v>0.94594594594594594</v>
      </c>
      <c r="M13" s="16">
        <f>VLOOKUP(B13,NOV!$L$43:$O$77,NOV!$O$42,FALSE)</f>
        <v>0.82310984308131241</v>
      </c>
    </row>
    <row r="14" spans="2:13" x14ac:dyDescent="0.25">
      <c r="B14" s="14" t="s">
        <v>23</v>
      </c>
      <c r="C14" s="27">
        <f>VLOOKUP(B14,NOV!$B$3:$H$19,NOV!$G$2,FALSE)</f>
        <v>0.996</v>
      </c>
      <c r="D14" s="27">
        <f>VLOOKUP(B14,NOV!$B$3:$H$19,NOV!$H$2,FALSE)</f>
        <v>1.0506024096385542</v>
      </c>
      <c r="E14" s="261">
        <v>1</v>
      </c>
      <c r="F14" s="16">
        <f>VLOOKUP(B14,NOV!$AA$43:$AB$58,NOV!$AB$42,FALSE)</f>
        <v>0.96594982078853042</v>
      </c>
      <c r="G14" s="16">
        <v>1.0582087385687324</v>
      </c>
      <c r="H14" s="16">
        <v>0.86</v>
      </c>
      <c r="I14" s="98" t="s">
        <v>24</v>
      </c>
      <c r="J14" s="30">
        <v>1</v>
      </c>
      <c r="K14" s="16">
        <f>VLOOKUP(B14,NOV!$G$43:$J$76,NOV!$J$42,FALSE)</f>
        <v>1.21665014115106</v>
      </c>
      <c r="L14" s="16">
        <f>VLOOKUP(B14,NOV!$Q$43:$V$76,NOV!$V$42,FALSE)</f>
        <v>0.98561151079136711</v>
      </c>
      <c r="M14" s="16">
        <f>VLOOKUP(B14,NOV!$L$43:$O$77,NOV!$O$42,FALSE)</f>
        <v>1.0104633781763828</v>
      </c>
    </row>
    <row r="15" spans="2:13" x14ac:dyDescent="0.25">
      <c r="B15" s="14" t="s">
        <v>25</v>
      </c>
      <c r="C15" s="27">
        <f>VLOOKUP(B15,NOV!$B$3:$H$19,NOV!$G$2,FALSE)</f>
        <v>1.0547619047619048</v>
      </c>
      <c r="D15" s="27">
        <f>VLOOKUP(B15,NOV!$B$3:$H$19,NOV!$H$2,FALSE)</f>
        <v>1.0422222222222222</v>
      </c>
      <c r="E15" s="261">
        <v>1</v>
      </c>
      <c r="F15" s="16">
        <f>VLOOKUP(B15,NOV!$AA$43:$AB$58,NOV!$AB$42,FALSE)</f>
        <v>0.98309178743961345</v>
      </c>
      <c r="G15" s="16">
        <v>1.0787824529991044</v>
      </c>
      <c r="H15" s="261">
        <v>0.86</v>
      </c>
      <c r="I15" s="98" t="s">
        <v>24</v>
      </c>
      <c r="J15" s="30">
        <v>1</v>
      </c>
      <c r="K15" s="16">
        <f>VLOOKUP(B15,NOV!$G$43:$J$76,NOV!$J$42,FALSE)</f>
        <v>0.8168647703975892</v>
      </c>
      <c r="L15" s="16">
        <f>VLOOKUP(B15,NOV!$Q$43:$V$76,NOV!$V$42,FALSE)</f>
        <v>1.2283464566929134</v>
      </c>
      <c r="M15" s="16">
        <f>VLOOKUP(B15,NOV!$L$43:$O$77,NOV!$O$42,FALSE)</f>
        <v>0.9254287844891872</v>
      </c>
    </row>
    <row r="16" spans="2:13" x14ac:dyDescent="0.25">
      <c r="B16" s="14" t="s">
        <v>26</v>
      </c>
      <c r="C16" s="27">
        <f>VLOOKUP(B16,NOV!$B$3:$H$19,NOV!$G$2,FALSE)</f>
        <v>1.06</v>
      </c>
      <c r="D16" s="27">
        <f>VLOOKUP(B16,NOV!$B$3:$H$19,NOV!$H$2,FALSE)</f>
        <v>1.0804597701149425</v>
      </c>
      <c r="E16" s="261">
        <v>1</v>
      </c>
      <c r="F16" s="16">
        <f>VLOOKUP(B16,NOV!$AA$43:$AB$58,NOV!$AB$42,FALSE)</f>
        <v>1.0687884430901191</v>
      </c>
      <c r="G16" s="16">
        <v>0.93881442431720019</v>
      </c>
      <c r="H16" s="261">
        <v>0.71</v>
      </c>
      <c r="I16" s="98" t="s">
        <v>24</v>
      </c>
      <c r="J16" s="30">
        <v>1</v>
      </c>
      <c r="K16" s="16">
        <f>VLOOKUP(B16,NOV!$G$43:$J$76,NOV!$J$42,FALSE)</f>
        <v>0.70623186154806383</v>
      </c>
      <c r="L16" s="16">
        <f>VLOOKUP(B16,NOV!$Q$43:$V$76,NOV!$V$42,FALSE)</f>
        <v>0.94186046511627919</v>
      </c>
      <c r="M16" s="16">
        <f>VLOOKUP(B16,NOV!$L$43:$O$77,NOV!$O$42,FALSE)</f>
        <v>1.115689381933439</v>
      </c>
    </row>
    <row r="17" spans="2:14" x14ac:dyDescent="0.25">
      <c r="B17" s="14" t="s">
        <v>27</v>
      </c>
      <c r="C17" s="27">
        <v>0.80000000000000016</v>
      </c>
      <c r="D17" s="27">
        <v>1.0511363636363638</v>
      </c>
      <c r="E17" s="261">
        <v>1</v>
      </c>
      <c r="F17" s="16">
        <f>VLOOKUP(B17,NOV!$AA$43:$AB$58,NOV!$AB$42,FALSE)</f>
        <v>0.88695569789188755</v>
      </c>
      <c r="G17" s="16">
        <v>0.677455707224211</v>
      </c>
      <c r="H17" s="16">
        <v>1</v>
      </c>
      <c r="I17" s="98" t="s">
        <v>24</v>
      </c>
      <c r="J17" s="30">
        <v>1</v>
      </c>
      <c r="K17" s="16">
        <f>VLOOKUP(B17,NOV!$G$43:$J$76,NOV!$J$42,FALSE)</f>
        <v>1.0964722222222223</v>
      </c>
      <c r="L17" s="16">
        <f>VLOOKUP(B17,NOV!$Q$43:$V$76,NOV!$V$42,FALSE)</f>
        <v>0.59688683214135463</v>
      </c>
      <c r="M17" s="16">
        <f>VLOOKUP(B17,NOV!$L$43:$O$77,NOV!$O$42,FALSE)</f>
        <v>0.89134808853118708</v>
      </c>
    </row>
    <row r="18" spans="2:14" x14ac:dyDescent="0.25">
      <c r="B18" s="14" t="s">
        <v>78</v>
      </c>
      <c r="C18" s="27" t="s">
        <v>24</v>
      </c>
      <c r="D18" s="27" t="s">
        <v>24</v>
      </c>
      <c r="E18" s="261">
        <v>1</v>
      </c>
      <c r="F18" s="16">
        <f>VLOOKUP(B18,NOV!$AA$43:$AB$58,NOV!$AB$42,FALSE)</f>
        <v>0.58751204984320093</v>
      </c>
      <c r="G18" s="16">
        <v>0.37886597938144329</v>
      </c>
      <c r="H18" s="16">
        <v>0.71</v>
      </c>
      <c r="I18" s="98" t="s">
        <v>24</v>
      </c>
      <c r="J18" s="30">
        <v>1</v>
      </c>
      <c r="K18" s="16">
        <f>VLOOKUP(B18,NOV!$G$43:$J$76,NOV!$J$42,FALSE)</f>
        <v>1.2602159262514931</v>
      </c>
      <c r="L18" s="16">
        <f>VLOOKUP(B18,NOV!$Q$43:$V$76,NOV!$V$42,FALSE)</f>
        <v>0.87455042439936703</v>
      </c>
      <c r="M18" s="16">
        <f>VLOOKUP(B18,NOV!$L$43:$O$77,NOV!$O$42,FALSE)</f>
        <v>0.8447058823529412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4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4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4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4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4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4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4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4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4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4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05">
        <v>1</v>
      </c>
      <c r="C38" s="267">
        <v>2</v>
      </c>
      <c r="D38" s="267">
        <v>3</v>
      </c>
      <c r="E38" s="105">
        <v>4</v>
      </c>
      <c r="F38" s="267">
        <v>5</v>
      </c>
      <c r="G38" s="267">
        <v>6</v>
      </c>
      <c r="H38" s="105">
        <v>7</v>
      </c>
      <c r="I38" s="267">
        <v>8</v>
      </c>
      <c r="J38" s="267">
        <v>9</v>
      </c>
      <c r="K38" s="105">
        <v>10</v>
      </c>
      <c r="L38" s="267">
        <v>11</v>
      </c>
      <c r="M38" s="267">
        <v>12</v>
      </c>
      <c r="N38" s="105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4.3000000000000003E-2</v>
      </c>
      <c r="I40" s="21">
        <f t="shared" si="1"/>
        <v>0.03</v>
      </c>
      <c r="J40" s="21">
        <f t="shared" si="1"/>
        <v>7.0000000000000007E-2</v>
      </c>
      <c r="K40" s="21">
        <f t="shared" si="1"/>
        <v>0.2</v>
      </c>
      <c r="L40" s="21">
        <f t="shared" si="1"/>
        <v>0.1</v>
      </c>
      <c r="M40" s="21">
        <f t="shared" si="1"/>
        <v>0.3</v>
      </c>
      <c r="N40" s="24">
        <f>SUM(C40:M40)</f>
        <v>0.99109720620274255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3.7037037037037035E-2</v>
      </c>
      <c r="G41" s="21">
        <f t="shared" si="2"/>
        <v>0.04</v>
      </c>
      <c r="H41" s="21">
        <f t="shared" si="2"/>
        <v>4.3000000000000003E-2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0.14676684116708535</v>
      </c>
      <c r="L41" s="21">
        <f t="shared" si="2"/>
        <v>0.1</v>
      </c>
      <c r="M41" s="21">
        <f t="shared" si="2"/>
        <v>0.26871428571428568</v>
      </c>
      <c r="N41" s="24">
        <f t="shared" ref="N41:N54" si="3">SUM(C41:M41)</f>
        <v>0.905518163918408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4.3000000000000003E-2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0.99299999999999988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0.19127515222154223</v>
      </c>
      <c r="L43" s="21">
        <f t="shared" si="2"/>
        <v>0.1</v>
      </c>
      <c r="M43" s="21">
        <f t="shared" si="2"/>
        <v>0.3</v>
      </c>
      <c r="N43" s="24">
        <f t="shared" si="3"/>
        <v>0.99127515222154217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4.3000000000000003E-2</v>
      </c>
      <c r="I44" s="21">
        <f t="shared" si="2"/>
        <v>0.03</v>
      </c>
      <c r="J44" s="21">
        <f t="shared" si="2"/>
        <v>7.0000000000000007E-2</v>
      </c>
      <c r="K44" s="21">
        <f t="shared" si="2"/>
        <v>0.14004021931138183</v>
      </c>
      <c r="L44" s="21">
        <f t="shared" si="2"/>
        <v>9.8701298701298706E-2</v>
      </c>
      <c r="M44" s="21">
        <f t="shared" si="2"/>
        <v>0.29977973568281935</v>
      </c>
      <c r="N44" s="24">
        <f t="shared" si="3"/>
        <v>0.93152125369549987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4.3000000000000003E-2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9.8823529411764713E-2</v>
      </c>
      <c r="M45" s="21">
        <f t="shared" si="2"/>
        <v>0.23042096902303413</v>
      </c>
      <c r="N45" s="24">
        <f t="shared" si="3"/>
        <v>0.92222515947558648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3.9761237665976383E-2</v>
      </c>
      <c r="H46" s="21">
        <f t="shared" si="2"/>
        <v>4.3000000000000003E-2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9.5049504950495051E-2</v>
      </c>
      <c r="M46" s="21">
        <f t="shared" si="2"/>
        <v>0.27325501036627503</v>
      </c>
      <c r="N46" s="24">
        <f t="shared" si="3"/>
        <v>0.96106575298274644</v>
      </c>
    </row>
    <row r="47" spans="2:14" x14ac:dyDescent="0.25">
      <c r="B47" s="14" t="s">
        <v>20</v>
      </c>
      <c r="C47" s="21">
        <f t="shared" si="2"/>
        <v>5.7685714285714292E-2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3.846153846153845E-2</v>
      </c>
      <c r="H47" s="21">
        <f t="shared" si="2"/>
        <v>4.3000000000000003E-2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0.3</v>
      </c>
      <c r="N47" s="24">
        <f t="shared" si="3"/>
        <v>0.98914725274725268</v>
      </c>
    </row>
    <row r="48" spans="2:14" x14ac:dyDescent="0.25">
      <c r="B48" s="14" t="s">
        <v>21</v>
      </c>
      <c r="C48" s="21">
        <f t="shared" si="2"/>
        <v>5.0057142857142856E-2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3.4514637904468425E-2</v>
      </c>
      <c r="H48" s="21">
        <f t="shared" si="2"/>
        <v>4.3000000000000003E-2</v>
      </c>
      <c r="I48" s="21">
        <f t="shared" si="2"/>
        <v>0.03</v>
      </c>
      <c r="J48" s="21">
        <f t="shared" si="2"/>
        <v>7.0000000000000007E-2</v>
      </c>
      <c r="K48" s="21">
        <f t="shared" si="2"/>
        <v>0.17956972923737546</v>
      </c>
      <c r="L48" s="21">
        <f t="shared" si="2"/>
        <v>0.1</v>
      </c>
      <c r="M48" s="21">
        <f t="shared" si="2"/>
        <v>0.27890025575447569</v>
      </c>
      <c r="N48" s="24">
        <f t="shared" si="3"/>
        <v>0.93428606441013207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4.3000000000000003E-2</v>
      </c>
      <c r="I49" s="21">
        <f t="shared" si="2"/>
        <v>0.03</v>
      </c>
      <c r="J49" s="21">
        <f t="shared" si="2"/>
        <v>7.0000000000000007E-2</v>
      </c>
      <c r="K49" s="21">
        <f t="shared" si="2"/>
        <v>0.18388562737419087</v>
      </c>
      <c r="L49" s="21">
        <f t="shared" si="2"/>
        <v>9.45945945945946E-2</v>
      </c>
      <c r="M49" s="21">
        <f t="shared" si="2"/>
        <v>0.24693295292439371</v>
      </c>
      <c r="N49" s="24">
        <f t="shared" si="3"/>
        <v>0.9184131748931792</v>
      </c>
    </row>
    <row r="50" spans="2:14" x14ac:dyDescent="0.25">
      <c r="B50" s="14" t="s">
        <v>23</v>
      </c>
      <c r="C50" s="21">
        <f t="shared" si="2"/>
        <v>5.9760000000000001E-2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4.3000000000000003E-2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0.3</v>
      </c>
      <c r="N50" s="24">
        <f t="shared" si="3"/>
        <v>0.98995914391067807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4.3000000000000003E-2</v>
      </c>
      <c r="I51" s="21" t="s">
        <v>24</v>
      </c>
      <c r="J51" s="21">
        <f t="shared" si="2"/>
        <v>0.1</v>
      </c>
      <c r="K51" s="21">
        <f t="shared" si="2"/>
        <v>0.16337295407951785</v>
      </c>
      <c r="L51" s="21">
        <f t="shared" si="2"/>
        <v>0.1</v>
      </c>
      <c r="M51" s="21">
        <f t="shared" si="2"/>
        <v>0.27762863534675614</v>
      </c>
      <c r="N51" s="24">
        <f t="shared" si="3"/>
        <v>0.93332526092385848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3.7552576972688011E-2</v>
      </c>
      <c r="H52" s="21">
        <f t="shared" si="2"/>
        <v>3.5499999999999997E-2</v>
      </c>
      <c r="I52" s="21" t="s">
        <v>24</v>
      </c>
      <c r="J52" s="21">
        <f t="shared" si="2"/>
        <v>0.1</v>
      </c>
      <c r="K52" s="21">
        <f t="shared" si="2"/>
        <v>0.14124637230961276</v>
      </c>
      <c r="L52" s="21">
        <f t="shared" si="2"/>
        <v>9.418604651162793E-2</v>
      </c>
      <c r="M52" s="21">
        <f t="shared" si="2"/>
        <v>0.3</v>
      </c>
      <c r="N52" s="24">
        <f t="shared" si="3"/>
        <v>0.91848499579392873</v>
      </c>
    </row>
    <row r="53" spans="2:14" x14ac:dyDescent="0.25">
      <c r="B53" s="14" t="s">
        <v>27</v>
      </c>
      <c r="C53" s="21">
        <f t="shared" si="2"/>
        <v>4.8000000000000008E-2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2.7098228288968441E-2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5.9688683214135466E-2</v>
      </c>
      <c r="M53" s="21">
        <f t="shared" si="2"/>
        <v>0.26740442655935609</v>
      </c>
      <c r="N53" s="24">
        <f t="shared" si="3"/>
        <v>0.89766956597813552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1.8943298969072167E-2</v>
      </c>
      <c r="H54" s="21">
        <f t="shared" si="2"/>
        <v>3.5499999999999997E-2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8.7455042439936709E-2</v>
      </c>
      <c r="M54" s="21">
        <f t="shared" si="2"/>
        <v>0.29564705882352937</v>
      </c>
      <c r="N54" s="24">
        <f t="shared" si="3"/>
        <v>0.8669210027246983</v>
      </c>
    </row>
    <row r="58" spans="2:14" x14ac:dyDescent="0.25">
      <c r="B58" s="28" t="s">
        <v>1</v>
      </c>
      <c r="C58" s="28" t="s">
        <v>32</v>
      </c>
      <c r="D58" s="266" t="s">
        <v>241</v>
      </c>
      <c r="E58" s="134" t="s">
        <v>142</v>
      </c>
    </row>
    <row r="59" spans="2:14" x14ac:dyDescent="0.25">
      <c r="B59" s="23" t="s">
        <v>13</v>
      </c>
      <c r="C59" s="16">
        <v>0.98980082279753345</v>
      </c>
      <c r="D59" s="16">
        <f>VLOOKUP(B59,$B$39:$N$54,$N$38,FALSE)</f>
        <v>0.99109720620274255</v>
      </c>
      <c r="E59" s="16">
        <f>VLOOKUP(B59,NOV!$B$43:$D$78,NOV!$D$42,FALSE)</f>
        <v>0.27845804084237397</v>
      </c>
    </row>
    <row r="60" spans="2:14" x14ac:dyDescent="0.25">
      <c r="B60" s="23" t="s">
        <v>15</v>
      </c>
      <c r="C60" s="16">
        <v>1</v>
      </c>
      <c r="D60" s="16">
        <f t="shared" ref="D60:D73" si="4">VLOOKUP(B60,$B$39:$N$54,$N$38,FALSE)</f>
        <v>0.99299999999999988</v>
      </c>
      <c r="E60" s="16">
        <f>VLOOKUP(B60,NOV!$B$43:$D$78,NOV!$D$42,FALSE)</f>
        <v>0.1300853541799617</v>
      </c>
    </row>
    <row r="61" spans="2:14" x14ac:dyDescent="0.25">
      <c r="B61" s="23" t="s">
        <v>16</v>
      </c>
      <c r="C61" s="16">
        <v>0.96686117474328959</v>
      </c>
      <c r="D61" s="16">
        <f t="shared" si="4"/>
        <v>0.99127515222154217</v>
      </c>
      <c r="E61" s="16">
        <f>VLOOKUP(B61,NOV!$B$43:$D$78,NOV!$D$42,FALSE)</f>
        <v>3.579690491384812E-2</v>
      </c>
    </row>
    <row r="62" spans="2:14" x14ac:dyDescent="0.25">
      <c r="B62" s="23" t="s">
        <v>17</v>
      </c>
      <c r="C62" s="16">
        <v>0.91</v>
      </c>
      <c r="D62" s="16">
        <f t="shared" si="4"/>
        <v>0.93152125369549987</v>
      </c>
      <c r="E62" s="16">
        <f>VLOOKUP(B62,NOV!$B$43:$D$78,NOV!$D$42,FALSE)</f>
        <v>4.5289566049776644E-2</v>
      </c>
    </row>
    <row r="63" spans="2:14" x14ac:dyDescent="0.25">
      <c r="B63" s="23" t="s">
        <v>18</v>
      </c>
      <c r="C63" s="16">
        <v>0.93110470401828627</v>
      </c>
      <c r="D63" s="16">
        <f t="shared" si="4"/>
        <v>0.92222515947558648</v>
      </c>
      <c r="E63" s="16">
        <f>VLOOKUP(B63,NOV!$B$43:$D$78,NOV!$D$42,FALSE)</f>
        <v>3.7452137843012122E-2</v>
      </c>
    </row>
    <row r="64" spans="2:14" x14ac:dyDescent="0.25">
      <c r="B64" s="23" t="s">
        <v>19</v>
      </c>
      <c r="C64" s="16">
        <v>0.97207402616838423</v>
      </c>
      <c r="D64" s="16">
        <f t="shared" si="4"/>
        <v>0.96106575298274644</v>
      </c>
      <c r="E64" s="16">
        <f>VLOOKUP(B64,NOV!$B$43:$D$78,NOV!$D$42,FALSE)</f>
        <v>4.4451978302488829E-2</v>
      </c>
    </row>
    <row r="65" spans="2:5" x14ac:dyDescent="0.25">
      <c r="B65" s="23" t="s">
        <v>20</v>
      </c>
      <c r="C65" s="16">
        <v>0.97973452294246177</v>
      </c>
      <c r="D65" s="16">
        <f t="shared" si="4"/>
        <v>0.98914725274725268</v>
      </c>
      <c r="E65" s="16">
        <f>VLOOKUP(B65,NOV!$B$43:$D$78,NOV!$D$42,FALSE)</f>
        <v>5.1711072112316528E-2</v>
      </c>
    </row>
    <row r="66" spans="2:5" x14ac:dyDescent="0.25">
      <c r="B66" s="23" t="s">
        <v>21</v>
      </c>
      <c r="C66" s="16">
        <v>0.93991571983947841</v>
      </c>
      <c r="D66" s="16">
        <f t="shared" si="4"/>
        <v>0.93428606441013207</v>
      </c>
      <c r="E66" s="16">
        <f>VLOOKUP(B66,NOV!$B$43:$D$78,NOV!$D$42,FALSE)</f>
        <v>2.3592054881940012E-2</v>
      </c>
    </row>
    <row r="67" spans="2:5" x14ac:dyDescent="0.25">
      <c r="B67" s="23" t="s">
        <v>22</v>
      </c>
      <c r="C67" s="16">
        <v>0.94524218314862185</v>
      </c>
      <c r="D67" s="16">
        <f t="shared" si="4"/>
        <v>0.9184131748931792</v>
      </c>
      <c r="E67" s="16">
        <f>VLOOKUP(B67,NOV!$B$43:$D$78,NOV!$D$42,FALSE)</f>
        <v>4.1021857051691132E-2</v>
      </c>
    </row>
    <row r="68" spans="2:5" x14ac:dyDescent="0.25">
      <c r="B68" s="23" t="s">
        <v>23</v>
      </c>
      <c r="C68" s="16">
        <v>0.91500000000000004</v>
      </c>
      <c r="D68" s="16">
        <f t="shared" si="4"/>
        <v>0.98995914391067807</v>
      </c>
      <c r="E68" s="16">
        <f>VLOOKUP(B68,NOV!$B$43:$D$78,NOV!$D$42,FALSE)</f>
        <v>4.752313337587747E-2</v>
      </c>
    </row>
    <row r="69" spans="2:5" x14ac:dyDescent="0.25">
      <c r="B69" s="23" t="s">
        <v>25</v>
      </c>
      <c r="C69" s="16">
        <v>0.99989690721649493</v>
      </c>
      <c r="D69" s="16">
        <f t="shared" si="4"/>
        <v>0.93332526092385848</v>
      </c>
      <c r="E69" s="16">
        <f>VLOOKUP(B69,NOV!$B$43:$D$78,NOV!$D$42,FALSE)</f>
        <v>4.6107211231652838E-2</v>
      </c>
    </row>
    <row r="70" spans="2:5" x14ac:dyDescent="0.25">
      <c r="B70" s="23" t="s">
        <v>26</v>
      </c>
      <c r="C70" s="16">
        <v>0.9</v>
      </c>
      <c r="D70" s="16">
        <f t="shared" si="4"/>
        <v>0.91848499579392873</v>
      </c>
      <c r="E70" s="16">
        <f>VLOOKUP(B70,NOV!$B$43:$D$78,NOV!$D$42,FALSE)</f>
        <v>2.1936821952776006E-2</v>
      </c>
    </row>
    <row r="71" spans="2:5" x14ac:dyDescent="0.25">
      <c r="B71" s="23" t="s">
        <v>33</v>
      </c>
      <c r="C71" s="16">
        <v>0.63392386477602281</v>
      </c>
      <c r="D71" s="16">
        <f t="shared" si="4"/>
        <v>0.89766956597813552</v>
      </c>
      <c r="E71" s="16">
        <f>VLOOKUP(B71,NOV!$B$43:$D$78,NOV!$D$42,FALSE)</f>
        <v>2.9953733248245053E-2</v>
      </c>
    </row>
    <row r="72" spans="2:5" x14ac:dyDescent="0.25">
      <c r="B72" s="23" t="s">
        <v>85</v>
      </c>
      <c r="C72" s="16">
        <v>0.48232272019195277</v>
      </c>
      <c r="D72" s="16">
        <f t="shared" si="4"/>
        <v>0.8669210027246983</v>
      </c>
      <c r="E72" s="16">
        <f>VLOOKUP(B72,NOV!$B$43:$D$78,NOV!$D$42,FALSE)</f>
        <v>1.1825941289087429E-2</v>
      </c>
    </row>
    <row r="73" spans="2:5" x14ac:dyDescent="0.25">
      <c r="B73" s="23" t="s">
        <v>14</v>
      </c>
      <c r="C73" s="16">
        <v>0.98099999999999998</v>
      </c>
      <c r="D73" s="276">
        <f t="shared" si="4"/>
        <v>0.905518163918408</v>
      </c>
      <c r="E73" s="16">
        <f>VLOOKUP(B73,NOV!$B$43:$D$78,NOV!$D$42,FALSE)</f>
        <v>0.12932753669432034</v>
      </c>
    </row>
  </sheetData>
  <conditionalFormatting sqref="N40:N54">
    <cfRule type="cellIs" dxfId="26" priority="1" operator="lessThan">
      <formula>0.9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0153C-AB90-43BD-B08A-E56729502946}">
  <dimension ref="B2:Y60"/>
  <sheetViews>
    <sheetView tabSelected="1" topLeftCell="E1" zoomScale="115" zoomScaleNormal="115" workbookViewId="0">
      <selection activeCell="AB13" sqref="AB13"/>
    </sheetView>
  </sheetViews>
  <sheetFormatPr baseColWidth="10" defaultColWidth="8.7109375" defaultRowHeight="15" x14ac:dyDescent="0.25"/>
  <cols>
    <col min="1" max="1" width="8.7109375" style="11"/>
    <col min="2" max="2" width="13.28515625" style="11" customWidth="1"/>
    <col min="3" max="5" width="8.7109375" style="11"/>
    <col min="6" max="7" width="10.28515625" style="11" customWidth="1"/>
    <col min="8" max="9" width="9.7109375" style="11" customWidth="1"/>
    <col min="10" max="17" width="8.7109375" style="11"/>
    <col min="18" max="18" width="11.28515625" style="11" customWidth="1"/>
    <col min="19" max="19" width="8.7109375" style="11"/>
    <col min="20" max="20" width="10.7109375" style="11" customWidth="1"/>
    <col min="21" max="16384" width="8.7109375" style="11"/>
  </cols>
  <sheetData>
    <row r="2" spans="2:25" x14ac:dyDescent="0.25">
      <c r="B2" s="11" t="s">
        <v>43</v>
      </c>
      <c r="F2" s="11" t="s">
        <v>242</v>
      </c>
      <c r="N2" s="11" t="s">
        <v>182</v>
      </c>
    </row>
    <row r="4" spans="2:25" x14ac:dyDescent="0.25">
      <c r="B4" s="11">
        <v>1</v>
      </c>
      <c r="C4" s="11">
        <v>2</v>
      </c>
      <c r="D4" s="11">
        <v>3</v>
      </c>
      <c r="F4" s="11">
        <v>1</v>
      </c>
      <c r="G4" s="11">
        <v>2</v>
      </c>
      <c r="H4" s="11">
        <v>3</v>
      </c>
      <c r="I4" s="11">
        <v>4</v>
      </c>
      <c r="J4" s="11">
        <v>5</v>
      </c>
      <c r="K4" s="11">
        <v>6</v>
      </c>
      <c r="L4" s="11">
        <v>7</v>
      </c>
      <c r="N4" s="11">
        <v>1</v>
      </c>
      <c r="O4" s="11">
        <v>2</v>
      </c>
      <c r="S4" s="20" t="s">
        <v>34</v>
      </c>
      <c r="T4" s="20" t="s">
        <v>143</v>
      </c>
      <c r="U4" s="20" t="s">
        <v>2</v>
      </c>
      <c r="V4" s="20" t="s">
        <v>145</v>
      </c>
      <c r="W4" s="20" t="s">
        <v>3</v>
      </c>
      <c r="X4" s="20" t="s">
        <v>200</v>
      </c>
      <c r="Y4" s="20" t="s">
        <v>201</v>
      </c>
    </row>
    <row r="5" spans="2:25" x14ac:dyDescent="0.25">
      <c r="B5" s="184" t="s">
        <v>34</v>
      </c>
      <c r="C5" s="23" t="s">
        <v>243</v>
      </c>
      <c r="D5" s="23" t="s">
        <v>244</v>
      </c>
      <c r="F5" s="20" t="s">
        <v>34</v>
      </c>
      <c r="G5" s="20" t="s">
        <v>143</v>
      </c>
      <c r="H5" s="20" t="s">
        <v>2</v>
      </c>
      <c r="I5" s="20" t="s">
        <v>145</v>
      </c>
      <c r="J5" s="20" t="s">
        <v>3</v>
      </c>
      <c r="K5" s="20" t="s">
        <v>200</v>
      </c>
      <c r="L5" s="20" t="s">
        <v>201</v>
      </c>
      <c r="N5" s="11" t="s">
        <v>34</v>
      </c>
      <c r="O5" s="11" t="s">
        <v>233</v>
      </c>
      <c r="R5" s="323" t="s">
        <v>26</v>
      </c>
      <c r="S5" s="23" t="s">
        <v>26</v>
      </c>
      <c r="T5" s="21">
        <v>0.85</v>
      </c>
      <c r="U5" s="21">
        <v>0.89900000000000002</v>
      </c>
      <c r="V5" s="21">
        <v>0.87</v>
      </c>
      <c r="W5" s="21">
        <v>0.94</v>
      </c>
      <c r="X5" s="138">
        <v>1.0576470588235294</v>
      </c>
      <c r="Y5" s="138">
        <v>1.0804597701149425</v>
      </c>
    </row>
    <row r="6" spans="2:25" x14ac:dyDescent="0.25">
      <c r="B6" s="184" t="s">
        <v>26</v>
      </c>
      <c r="C6" s="27">
        <v>0.86</v>
      </c>
      <c r="D6" s="27">
        <v>0.6</v>
      </c>
      <c r="F6" s="23" t="s">
        <v>13</v>
      </c>
      <c r="G6" s="21">
        <f>VLOOKUP(F6,'OR SEP'!$B$2:$H$16,'OR SEP'!$C$1,FALSE)</f>
        <v>0.78</v>
      </c>
      <c r="H6" s="21">
        <v>0.78700000000000003</v>
      </c>
      <c r="I6" s="21">
        <f>VLOOKUP(F6,'OR SEP'!$B$2:$H$16,'OR SEP'!$F$1,FALSE)</f>
        <v>0.92</v>
      </c>
      <c r="J6" s="21">
        <v>0.95799999999999996</v>
      </c>
      <c r="K6" s="138">
        <f>H6/G6</f>
        <v>1.0089743589743589</v>
      </c>
      <c r="L6" s="138">
        <f>J6/I6</f>
        <v>1.0413043478260868</v>
      </c>
      <c r="N6" s="11" t="s">
        <v>16</v>
      </c>
      <c r="O6" s="199">
        <v>1.5066172578083645</v>
      </c>
      <c r="R6" s="324" t="s">
        <v>13</v>
      </c>
      <c r="S6" s="23" t="s">
        <v>13</v>
      </c>
      <c r="T6" s="21">
        <v>0.78</v>
      </c>
      <c r="U6" s="21">
        <v>0.78700000000000003</v>
      </c>
      <c r="V6" s="21">
        <v>0.92</v>
      </c>
      <c r="W6" s="21">
        <v>0.95799999999999996</v>
      </c>
      <c r="X6" s="138">
        <v>1.0089743589743589</v>
      </c>
      <c r="Y6" s="138">
        <v>1.0413043478260868</v>
      </c>
    </row>
    <row r="7" spans="2:25" x14ac:dyDescent="0.25">
      <c r="B7" s="184" t="s">
        <v>18</v>
      </c>
      <c r="C7" s="27">
        <v>1</v>
      </c>
      <c r="D7" s="27">
        <v>0.7</v>
      </c>
      <c r="F7" s="23" t="s">
        <v>15</v>
      </c>
      <c r="G7" s="21">
        <f>VLOOKUP(F7,'OR SEP'!$B$2:$H$16,'OR SEP'!$C$1,FALSE)</f>
        <v>0.92</v>
      </c>
      <c r="H7" s="21">
        <v>0.94899999999999995</v>
      </c>
      <c r="I7" s="21">
        <f>VLOOKUP(F7,'OR SEP'!$B$2:$H$16,'OR SEP'!$F$1,FALSE)</f>
        <v>0.92</v>
      </c>
      <c r="J7" s="21">
        <v>0.93799999999999994</v>
      </c>
      <c r="K7" s="138">
        <f t="shared" ref="K7:K21" si="0">H7/G7</f>
        <v>1.0315217391304348</v>
      </c>
      <c r="L7" s="138">
        <f t="shared" ref="L7:L21" si="1">J7/I7</f>
        <v>1.0195652173913043</v>
      </c>
      <c r="N7" s="11" t="s">
        <v>15</v>
      </c>
      <c r="O7" s="199">
        <v>1.4352075337316501</v>
      </c>
      <c r="R7" s="323" t="s">
        <v>15</v>
      </c>
      <c r="S7" s="23" t="s">
        <v>15</v>
      </c>
      <c r="T7" s="21">
        <v>0.92</v>
      </c>
      <c r="U7" s="21">
        <v>0.94899999999999995</v>
      </c>
      <c r="V7" s="21">
        <v>0.92</v>
      </c>
      <c r="W7" s="21">
        <v>0.93799999999999994</v>
      </c>
      <c r="X7" s="138">
        <v>1.0315217391304348</v>
      </c>
      <c r="Y7" s="138">
        <v>1.0195652173913043</v>
      </c>
    </row>
    <row r="8" spans="2:25" x14ac:dyDescent="0.25">
      <c r="B8" s="184" t="s">
        <v>25</v>
      </c>
      <c r="C8" s="27">
        <v>0.86</v>
      </c>
      <c r="D8" s="27">
        <v>0.6</v>
      </c>
      <c r="F8" s="23" t="s">
        <v>16</v>
      </c>
      <c r="G8" s="21">
        <f>VLOOKUP(F8,'OR SEP'!$B$2:$H$16,'OR SEP'!$C$1,FALSE)</f>
        <v>0.85</v>
      </c>
      <c r="H8" s="21">
        <v>0.875</v>
      </c>
      <c r="I8" s="21">
        <f>VLOOKUP(F8,'OR SEP'!$B$2:$H$16,'OR SEP'!$F$1,FALSE)</f>
        <v>0.94</v>
      </c>
      <c r="J8" s="21">
        <v>0.95299999999999996</v>
      </c>
      <c r="K8" s="138">
        <f t="shared" si="0"/>
        <v>1.0294117647058825</v>
      </c>
      <c r="L8" s="138">
        <f t="shared" si="1"/>
        <v>1.0138297872340425</v>
      </c>
      <c r="N8" s="11" t="s">
        <v>18</v>
      </c>
      <c r="O8" s="199">
        <v>1.0308548564979865</v>
      </c>
      <c r="R8" s="324" t="s">
        <v>22</v>
      </c>
      <c r="S8" s="23" t="s">
        <v>22</v>
      </c>
      <c r="T8" s="21">
        <v>0.7</v>
      </c>
      <c r="U8" s="21">
        <v>0.76300000000000001</v>
      </c>
      <c r="V8" s="21">
        <v>0.88</v>
      </c>
      <c r="W8" s="21">
        <v>0.96</v>
      </c>
      <c r="X8" s="138">
        <v>1.0900000000000001</v>
      </c>
      <c r="Y8" s="138">
        <v>1.0909090909090908</v>
      </c>
    </row>
    <row r="9" spans="2:25" x14ac:dyDescent="0.25">
      <c r="B9" s="184" t="s">
        <v>16</v>
      </c>
      <c r="C9" s="27">
        <v>1</v>
      </c>
      <c r="D9" s="27">
        <v>0.7</v>
      </c>
      <c r="F9" s="23" t="s">
        <v>17</v>
      </c>
      <c r="G9" s="21">
        <f>VLOOKUP(F9,'OR SEP'!$B$2:$H$16,'OR SEP'!$C$1,FALSE)</f>
        <v>0.86</v>
      </c>
      <c r="H9" s="21">
        <v>0.88300000000000001</v>
      </c>
      <c r="I9" s="21">
        <f>VLOOKUP(F9,'OR SEP'!$B$2:$H$16,'OR SEP'!$F$1,FALSE)</f>
        <v>0.9</v>
      </c>
      <c r="J9" s="21">
        <v>0.97199999999999998</v>
      </c>
      <c r="K9" s="138">
        <f t="shared" si="0"/>
        <v>1.0267441860465116</v>
      </c>
      <c r="L9" s="138">
        <f t="shared" si="1"/>
        <v>1.0799999999999998</v>
      </c>
      <c r="N9" s="11" t="s">
        <v>13</v>
      </c>
      <c r="O9" s="199">
        <v>1.0410119820885564</v>
      </c>
      <c r="R9" s="323" t="s">
        <v>16</v>
      </c>
      <c r="S9" s="23" t="s">
        <v>16</v>
      </c>
      <c r="T9" s="21">
        <v>0.85</v>
      </c>
      <c r="U9" s="21">
        <v>0.875</v>
      </c>
      <c r="V9" s="21">
        <v>0.94</v>
      </c>
      <c r="W9" s="21">
        <v>0.95299999999999996</v>
      </c>
      <c r="X9" s="138">
        <v>1.0294117647058825</v>
      </c>
      <c r="Y9" s="138">
        <v>1.0138297872340425</v>
      </c>
    </row>
    <row r="10" spans="2:25" x14ac:dyDescent="0.25">
      <c r="B10" s="184" t="s">
        <v>13</v>
      </c>
      <c r="C10" s="27">
        <v>1</v>
      </c>
      <c r="D10" s="27">
        <v>0.7</v>
      </c>
      <c r="F10" s="23" t="s">
        <v>14</v>
      </c>
      <c r="G10" s="21">
        <f>VLOOKUP(F10,'OR SEP'!$B$2:$H$16,'OR SEP'!$C$1,FALSE)</f>
        <v>0.82</v>
      </c>
      <c r="H10" s="21">
        <v>0.84799999999999998</v>
      </c>
      <c r="I10" s="21">
        <f>VLOOKUP(F10,'OR SEP'!$B$2:$H$16,'OR SEP'!$F$1,FALSE)</f>
        <v>0.91</v>
      </c>
      <c r="J10" s="21">
        <v>0.92400000000000004</v>
      </c>
      <c r="K10" s="138">
        <f t="shared" si="0"/>
        <v>1.0341463414634147</v>
      </c>
      <c r="L10" s="138">
        <f t="shared" si="1"/>
        <v>1.0153846153846153</v>
      </c>
      <c r="N10" s="11" t="s">
        <v>14</v>
      </c>
      <c r="O10" s="199">
        <v>1.1168578216891083</v>
      </c>
      <c r="R10" s="324" t="s">
        <v>19</v>
      </c>
      <c r="S10" s="23" t="s">
        <v>19</v>
      </c>
      <c r="T10" s="21">
        <v>0.7</v>
      </c>
      <c r="U10" s="21">
        <v>0.77</v>
      </c>
      <c r="V10" s="21">
        <v>0.83</v>
      </c>
      <c r="W10" s="21">
        <v>0.93400000000000005</v>
      </c>
      <c r="X10" s="138">
        <v>1.1000000000000001</v>
      </c>
      <c r="Y10" s="138">
        <v>1.1253012048192772</v>
      </c>
    </row>
    <row r="11" spans="2:25" x14ac:dyDescent="0.25">
      <c r="B11" s="184" t="s">
        <v>15</v>
      </c>
      <c r="C11" s="27">
        <v>1</v>
      </c>
      <c r="D11" s="27">
        <v>0.7</v>
      </c>
      <c r="F11" s="23" t="s">
        <v>18</v>
      </c>
      <c r="G11" s="21">
        <f>VLOOKUP(F11,'OR SEP'!$B$2:$H$16,'OR SEP'!$C$1,FALSE)</f>
        <v>0.94</v>
      </c>
      <c r="H11" s="21">
        <v>0.98899999999999999</v>
      </c>
      <c r="I11" s="21">
        <f>VLOOKUP(F11,'OR SEP'!$B$2:$H$16,'OR SEP'!$F$1,FALSE)</f>
        <v>0.95</v>
      </c>
      <c r="J11" s="21">
        <v>0.99099999999999999</v>
      </c>
      <c r="K11" s="138">
        <f t="shared" si="0"/>
        <v>1.0521276595744682</v>
      </c>
      <c r="L11" s="138">
        <f t="shared" si="1"/>
        <v>1.0431578947368421</v>
      </c>
      <c r="N11" s="11" t="s">
        <v>17</v>
      </c>
      <c r="O11" s="199">
        <v>1.2731400628711138</v>
      </c>
      <c r="R11" s="323" t="s">
        <v>78</v>
      </c>
      <c r="S11" s="23" t="s">
        <v>78</v>
      </c>
      <c r="T11" s="21">
        <v>0</v>
      </c>
      <c r="U11" s="21">
        <v>0</v>
      </c>
      <c r="V11" s="21">
        <v>0</v>
      </c>
      <c r="W11" s="21">
        <v>0</v>
      </c>
      <c r="X11" s="138">
        <v>0</v>
      </c>
      <c r="Y11" s="138">
        <v>0</v>
      </c>
    </row>
    <row r="12" spans="2:25" x14ac:dyDescent="0.25">
      <c r="B12" s="184" t="s">
        <v>22</v>
      </c>
      <c r="C12" s="27">
        <v>1</v>
      </c>
      <c r="D12" s="27">
        <v>0.7</v>
      </c>
      <c r="F12" s="23" t="s">
        <v>218</v>
      </c>
      <c r="G12" s="21" t="e">
        <f>VLOOKUP(F12,'OR SEP'!$B$2:$H$16,'OR SEP'!$C$1,FALSE)</f>
        <v>#N/A</v>
      </c>
      <c r="H12" s="21">
        <v>0.82399999999999995</v>
      </c>
      <c r="I12" s="21" t="e">
        <f>VLOOKUP(F12,'OR SEP'!$B$2:$H$16,'OR SEP'!$F$1,FALSE)</f>
        <v>#N/A</v>
      </c>
      <c r="J12" s="21">
        <v>0.95</v>
      </c>
      <c r="K12" s="138" t="e">
        <f t="shared" si="0"/>
        <v>#N/A</v>
      </c>
      <c r="L12" s="138" t="e">
        <f t="shared" si="1"/>
        <v>#N/A</v>
      </c>
      <c r="N12" s="11" t="s">
        <v>26</v>
      </c>
      <c r="O12" s="199">
        <v>0.93592129752725317</v>
      </c>
      <c r="R12" s="324" t="s">
        <v>23</v>
      </c>
      <c r="S12" s="23" t="s">
        <v>23</v>
      </c>
      <c r="T12" s="21">
        <v>0.75</v>
      </c>
      <c r="U12" s="21">
        <v>0.74099999999999999</v>
      </c>
      <c r="V12" s="21">
        <v>0.83</v>
      </c>
      <c r="W12" s="21">
        <v>0.88</v>
      </c>
      <c r="X12" s="138">
        <v>0.98799999999999999</v>
      </c>
      <c r="Y12" s="138">
        <v>1.0602409638554218</v>
      </c>
    </row>
    <row r="13" spans="2:25" x14ac:dyDescent="0.25">
      <c r="B13" s="184" t="s">
        <v>17</v>
      </c>
      <c r="C13" s="27">
        <v>1</v>
      </c>
      <c r="D13" s="27">
        <v>0.7</v>
      </c>
      <c r="F13" s="23" t="s">
        <v>26</v>
      </c>
      <c r="G13" s="21">
        <f>VLOOKUP(F13,'OR SEP'!$B$2:$H$16,'OR SEP'!$C$1,FALSE)</f>
        <v>0.85</v>
      </c>
      <c r="H13" s="21">
        <v>0.89900000000000002</v>
      </c>
      <c r="I13" s="21">
        <f>VLOOKUP(F13,'OR SEP'!$B$2:$H$16,'OR SEP'!$F$1,FALSE)</f>
        <v>0.87</v>
      </c>
      <c r="J13" s="21">
        <v>0.94</v>
      </c>
      <c r="K13" s="138">
        <f t="shared" si="0"/>
        <v>1.0576470588235294</v>
      </c>
      <c r="L13" s="138">
        <f t="shared" si="1"/>
        <v>1.0804597701149425</v>
      </c>
      <c r="N13" s="11" t="s">
        <v>25</v>
      </c>
      <c r="O13" s="199">
        <v>1.0457799956606635</v>
      </c>
      <c r="R13" s="323" t="s">
        <v>20</v>
      </c>
      <c r="S13" s="23" t="s">
        <v>20</v>
      </c>
      <c r="T13" s="21">
        <v>0.7</v>
      </c>
      <c r="U13" s="21">
        <v>0.67400000000000004</v>
      </c>
      <c r="V13" s="21">
        <v>0.83</v>
      </c>
      <c r="W13" s="21">
        <v>0.99199999999999999</v>
      </c>
      <c r="X13" s="138">
        <v>0.96285714285714297</v>
      </c>
      <c r="Y13" s="138">
        <v>1.1951807228915663</v>
      </c>
    </row>
    <row r="14" spans="2:25" x14ac:dyDescent="0.25">
      <c r="B14" s="184" t="s">
        <v>23</v>
      </c>
      <c r="C14" s="27">
        <v>1</v>
      </c>
      <c r="D14" s="27">
        <v>0.7</v>
      </c>
      <c r="F14" s="23" t="s">
        <v>19</v>
      </c>
      <c r="G14" s="21">
        <f>VLOOKUP(F14,'OR SEP'!$B$2:$H$16,'OR SEP'!$C$1,FALSE)</f>
        <v>0.7</v>
      </c>
      <c r="H14" s="21">
        <v>0.77</v>
      </c>
      <c r="I14" s="21">
        <f>VLOOKUP(F14,'OR SEP'!$B$2:$H$16,'OR SEP'!$F$1,FALSE)</f>
        <v>0.83</v>
      </c>
      <c r="J14" s="21">
        <v>0.93400000000000005</v>
      </c>
      <c r="K14" s="138">
        <f t="shared" si="0"/>
        <v>1.1000000000000001</v>
      </c>
      <c r="L14" s="138">
        <f t="shared" si="1"/>
        <v>1.1253012048192772</v>
      </c>
      <c r="N14" s="11" t="s">
        <v>21</v>
      </c>
      <c r="O14" s="199">
        <v>0.84428809479725997</v>
      </c>
      <c r="R14" s="324" t="s">
        <v>27</v>
      </c>
      <c r="S14" s="23" t="s">
        <v>27</v>
      </c>
      <c r="T14" s="21">
        <v>0.7</v>
      </c>
      <c r="U14" s="21">
        <v>0.56100000000000005</v>
      </c>
      <c r="V14" s="21">
        <v>0.88</v>
      </c>
      <c r="W14" s="21">
        <v>0.92700000000000005</v>
      </c>
      <c r="X14" s="138">
        <v>0.8014285714285716</v>
      </c>
      <c r="Y14" s="138">
        <v>1.053409090909091</v>
      </c>
    </row>
    <row r="15" spans="2:25" x14ac:dyDescent="0.25">
      <c r="B15" s="184" t="s">
        <v>14</v>
      </c>
      <c r="C15" s="27">
        <v>1</v>
      </c>
      <c r="D15" s="27">
        <v>0.7</v>
      </c>
      <c r="F15" s="23" t="s">
        <v>23</v>
      </c>
      <c r="G15" s="21">
        <f>VLOOKUP(F15,'OR SEP'!$B$2:$H$16,'OR SEP'!$C$1,FALSE)</f>
        <v>0.75</v>
      </c>
      <c r="H15" s="21">
        <v>0.74099999999999999</v>
      </c>
      <c r="I15" s="21">
        <f>VLOOKUP(F15,'OR SEP'!$B$2:$H$16,'OR SEP'!$F$1,FALSE)</f>
        <v>0.83</v>
      </c>
      <c r="J15" s="21">
        <v>0.88</v>
      </c>
      <c r="K15" s="138">
        <f t="shared" si="0"/>
        <v>0.98799999999999999</v>
      </c>
      <c r="L15" s="138">
        <f t="shared" si="1"/>
        <v>1.0602409638554218</v>
      </c>
      <c r="N15" s="11" t="s">
        <v>19</v>
      </c>
      <c r="O15" s="199">
        <v>0.98093118645547017</v>
      </c>
      <c r="R15" s="323" t="s">
        <v>21</v>
      </c>
      <c r="S15" s="23" t="s">
        <v>21</v>
      </c>
      <c r="T15" s="21">
        <v>0.7</v>
      </c>
      <c r="U15" s="21">
        <v>0.61199999999999999</v>
      </c>
      <c r="V15" s="21">
        <v>0.83</v>
      </c>
      <c r="W15" s="21">
        <v>0.90600000000000003</v>
      </c>
      <c r="X15" s="138">
        <v>0.87428571428571433</v>
      </c>
      <c r="Y15" s="138">
        <v>1.0915662650602411</v>
      </c>
    </row>
    <row r="16" spans="2:25" x14ac:dyDescent="0.25">
      <c r="B16" s="184" t="s">
        <v>19</v>
      </c>
      <c r="C16" s="27">
        <v>0.86</v>
      </c>
      <c r="D16" s="27">
        <v>0.6</v>
      </c>
      <c r="F16" s="23" t="s">
        <v>20</v>
      </c>
      <c r="G16" s="21">
        <f>VLOOKUP(F16,'OR SEP'!$B$2:$H$16,'OR SEP'!$C$1,FALSE)</f>
        <v>0.7</v>
      </c>
      <c r="H16" s="21">
        <v>0.67400000000000004</v>
      </c>
      <c r="I16" s="21">
        <f>VLOOKUP(F16,'OR SEP'!$B$2:$H$16,'OR SEP'!$F$1,FALSE)</f>
        <v>0.83</v>
      </c>
      <c r="J16" s="21">
        <v>0.99199999999999999</v>
      </c>
      <c r="K16" s="138">
        <f t="shared" si="0"/>
        <v>0.96285714285714297</v>
      </c>
      <c r="L16" s="138">
        <f t="shared" si="1"/>
        <v>1.1951807228915663</v>
      </c>
      <c r="N16" s="11" t="s">
        <v>23</v>
      </c>
      <c r="O16" s="199">
        <v>1.0132714336176007</v>
      </c>
      <c r="R16" s="324" t="s">
        <v>14</v>
      </c>
      <c r="S16" s="23" t="s">
        <v>14</v>
      </c>
      <c r="T16" s="21">
        <v>0.82</v>
      </c>
      <c r="U16" s="21">
        <v>0.84799999999999998</v>
      </c>
      <c r="V16" s="21">
        <v>0.91</v>
      </c>
      <c r="W16" s="21">
        <v>0.92400000000000004</v>
      </c>
      <c r="X16" s="138">
        <v>1.0341463414634147</v>
      </c>
      <c r="Y16" s="138">
        <v>1.0153846153846153</v>
      </c>
    </row>
    <row r="17" spans="2:25" x14ac:dyDescent="0.25">
      <c r="B17" s="184" t="s">
        <v>21</v>
      </c>
      <c r="C17" s="27">
        <v>0.86</v>
      </c>
      <c r="D17" s="27">
        <v>0.6</v>
      </c>
      <c r="F17" s="23" t="s">
        <v>21</v>
      </c>
      <c r="G17" s="21">
        <f>VLOOKUP(F17,'OR SEP'!$B$2:$H$16,'OR SEP'!$C$1,FALSE)</f>
        <v>0.7</v>
      </c>
      <c r="H17" s="21">
        <v>0.61199999999999999</v>
      </c>
      <c r="I17" s="21">
        <f>VLOOKUP(F17,'OR SEP'!$B$2:$H$16,'OR SEP'!$F$1,FALSE)</f>
        <v>0.83</v>
      </c>
      <c r="J17" s="21">
        <v>0.90600000000000003</v>
      </c>
      <c r="K17" s="138">
        <f t="shared" si="0"/>
        <v>0.87428571428571433</v>
      </c>
      <c r="L17" s="138">
        <f t="shared" si="1"/>
        <v>1.0915662650602411</v>
      </c>
      <c r="N17" s="11" t="s">
        <v>22</v>
      </c>
      <c r="O17" s="199">
        <v>1.0955537922031378</v>
      </c>
      <c r="R17" s="323" t="s">
        <v>17</v>
      </c>
      <c r="S17" s="23" t="s">
        <v>17</v>
      </c>
      <c r="T17" s="21">
        <v>0.86</v>
      </c>
      <c r="U17" s="21">
        <v>0.88300000000000001</v>
      </c>
      <c r="V17" s="21">
        <v>0.9</v>
      </c>
      <c r="W17" s="21">
        <v>0.97199999999999998</v>
      </c>
      <c r="X17" s="138">
        <v>1.0267441860465116</v>
      </c>
      <c r="Y17" s="138">
        <v>1.0799999999999998</v>
      </c>
    </row>
    <row r="18" spans="2:25" x14ac:dyDescent="0.25">
      <c r="B18" s="184" t="s">
        <v>20</v>
      </c>
      <c r="C18" s="27">
        <v>0.86</v>
      </c>
      <c r="D18" s="27">
        <v>0.6</v>
      </c>
      <c r="F18" s="23" t="s">
        <v>25</v>
      </c>
      <c r="G18" s="21">
        <f>VLOOKUP(F18,'OR SEP'!$B$2:$H$16,'OR SEP'!$C$1,FALSE)</f>
        <v>0.84</v>
      </c>
      <c r="H18" s="21">
        <v>0.873</v>
      </c>
      <c r="I18" s="21">
        <f>VLOOKUP(F18,'OR SEP'!$B$2:$H$16,'OR SEP'!$F$1,FALSE)</f>
        <v>0.9</v>
      </c>
      <c r="J18" s="21">
        <v>0.93799999999999994</v>
      </c>
      <c r="K18" s="138">
        <f t="shared" si="0"/>
        <v>1.0392857142857144</v>
      </c>
      <c r="L18" s="138">
        <f t="shared" si="1"/>
        <v>1.0422222222222222</v>
      </c>
      <c r="N18" s="11" t="s">
        <v>20</v>
      </c>
      <c r="O18" s="199">
        <v>0.94506792675723528</v>
      </c>
      <c r="R18" s="324" t="s">
        <v>25</v>
      </c>
      <c r="S18" s="23" t="s">
        <v>25</v>
      </c>
      <c r="T18" s="21">
        <v>0.84</v>
      </c>
      <c r="U18" s="21">
        <v>0.873</v>
      </c>
      <c r="V18" s="21">
        <v>0.9</v>
      </c>
      <c r="W18" s="21">
        <v>0.93799999999999994</v>
      </c>
      <c r="X18" s="138">
        <v>1.0392857142857144</v>
      </c>
      <c r="Y18" s="138">
        <v>1.0422222222222222</v>
      </c>
    </row>
    <row r="19" spans="2:25" x14ac:dyDescent="0.25">
      <c r="B19" s="184" t="s">
        <v>78</v>
      </c>
      <c r="C19" s="27">
        <v>0.86</v>
      </c>
      <c r="D19" s="27">
        <v>0.6</v>
      </c>
      <c r="F19" s="23" t="s">
        <v>22</v>
      </c>
      <c r="G19" s="21">
        <f>VLOOKUP(F19,'OR SEP'!$B$2:$H$16,'OR SEP'!$C$1,FALSE)</f>
        <v>0.7</v>
      </c>
      <c r="H19" s="21">
        <v>0.76300000000000001</v>
      </c>
      <c r="I19" s="21">
        <f>VLOOKUP(F19,'OR SEP'!$B$2:$H$16,'OR SEP'!$F$1,FALSE)</f>
        <v>0.88</v>
      </c>
      <c r="J19" s="21">
        <v>0.96</v>
      </c>
      <c r="K19" s="138">
        <f t="shared" si="0"/>
        <v>1.0900000000000001</v>
      </c>
      <c r="L19" s="138">
        <f t="shared" si="1"/>
        <v>1.0909090909090908</v>
      </c>
      <c r="N19" s="11" t="s">
        <v>76</v>
      </c>
      <c r="O19" s="199">
        <v>0.78305519897304232</v>
      </c>
      <c r="R19" s="323" t="s">
        <v>18</v>
      </c>
      <c r="S19" s="23" t="s">
        <v>18</v>
      </c>
      <c r="T19" s="21">
        <v>0.94</v>
      </c>
      <c r="U19" s="21">
        <v>0.98899999999999999</v>
      </c>
      <c r="V19" s="21">
        <v>0.95</v>
      </c>
      <c r="W19" s="21">
        <v>0.99099999999999999</v>
      </c>
      <c r="X19" s="138">
        <v>1.0521276595744682</v>
      </c>
      <c r="Y19" s="138">
        <v>1.0431578947368421</v>
      </c>
    </row>
    <row r="20" spans="2:25" x14ac:dyDescent="0.25">
      <c r="B20" s="184" t="s">
        <v>27</v>
      </c>
      <c r="C20" s="27">
        <v>1</v>
      </c>
      <c r="D20" s="27">
        <v>0.7</v>
      </c>
      <c r="F20" s="23" t="s">
        <v>27</v>
      </c>
      <c r="G20" s="21">
        <v>0.7</v>
      </c>
      <c r="H20" s="21">
        <v>0.56100000000000005</v>
      </c>
      <c r="I20" s="21">
        <v>0.88</v>
      </c>
      <c r="J20" s="21">
        <v>0.92700000000000005</v>
      </c>
      <c r="K20" s="138">
        <f t="shared" si="0"/>
        <v>0.8014285714285716</v>
      </c>
      <c r="L20" s="138">
        <f t="shared" si="1"/>
        <v>1.053409090909091</v>
      </c>
      <c r="N20" s="11" t="s">
        <v>85</v>
      </c>
      <c r="O20" s="199">
        <v>0.70902449248457966</v>
      </c>
    </row>
    <row r="21" spans="2:25" x14ac:dyDescent="0.25">
      <c r="F21" s="23" t="s">
        <v>219</v>
      </c>
      <c r="G21" s="21" t="e">
        <f>VLOOKUP(F21,'OR SEP'!$B$2:$H$16,'OR SEP'!$C$1,FALSE)</f>
        <v>#N/A</v>
      </c>
      <c r="H21" s="21">
        <v>0.77</v>
      </c>
      <c r="I21" s="21" t="e">
        <f>VLOOKUP(F21,'OR SEP'!$B$2:$H$16,'OR SEP'!$F$1,FALSE)</f>
        <v>#N/A</v>
      </c>
      <c r="J21" s="21">
        <v>0.94099999999999995</v>
      </c>
      <c r="K21" s="138" t="e">
        <f t="shared" si="0"/>
        <v>#N/A</v>
      </c>
      <c r="L21" s="138" t="e">
        <f t="shared" si="1"/>
        <v>#N/A</v>
      </c>
      <c r="N21" s="11" t="s">
        <v>33</v>
      </c>
      <c r="O21" s="199">
        <v>0.59155488249560984</v>
      </c>
    </row>
    <row r="22" spans="2:25" x14ac:dyDescent="0.25">
      <c r="S22" s="289"/>
      <c r="T22" s="304" t="s">
        <v>274</v>
      </c>
      <c r="U22" s="304"/>
    </row>
    <row r="23" spans="2:25" x14ac:dyDescent="0.25">
      <c r="B23" s="11" t="s">
        <v>245</v>
      </c>
      <c r="S23" s="292" t="s">
        <v>93</v>
      </c>
      <c r="T23" s="292" t="s">
        <v>97</v>
      </c>
      <c r="U23" s="292" t="s">
        <v>93</v>
      </c>
    </row>
    <row r="24" spans="2:25" x14ac:dyDescent="0.25">
      <c r="B24" s="11">
        <v>1</v>
      </c>
      <c r="C24" s="11">
        <v>2</v>
      </c>
      <c r="D24" s="11">
        <v>3</v>
      </c>
      <c r="E24" s="11">
        <v>4</v>
      </c>
      <c r="F24" s="11">
        <v>5</v>
      </c>
      <c r="G24" s="11">
        <v>1</v>
      </c>
      <c r="H24" s="11">
        <v>2</v>
      </c>
      <c r="I24" s="11">
        <v>3</v>
      </c>
      <c r="J24" s="11">
        <v>4</v>
      </c>
      <c r="K24" s="11">
        <v>5</v>
      </c>
      <c r="L24" s="11">
        <v>6</v>
      </c>
      <c r="M24" s="11">
        <v>7</v>
      </c>
      <c r="O24" s="11" t="s">
        <v>5</v>
      </c>
      <c r="R24" s="289" t="s">
        <v>163</v>
      </c>
      <c r="S24" s="293"/>
      <c r="T24" s="293"/>
      <c r="U24" s="293"/>
    </row>
    <row r="25" spans="2:25" ht="21.4" customHeight="1" x14ac:dyDescent="0.25">
      <c r="B25" s="268" t="s">
        <v>155</v>
      </c>
      <c r="C25" s="269" t="s">
        <v>233</v>
      </c>
      <c r="D25" s="269" t="s">
        <v>103</v>
      </c>
      <c r="E25" s="269" t="s">
        <v>57</v>
      </c>
      <c r="G25" s="290" t="s">
        <v>34</v>
      </c>
      <c r="H25" s="292" t="s">
        <v>35</v>
      </c>
      <c r="I25" s="292" t="s">
        <v>89</v>
      </c>
      <c r="J25" s="290" t="s">
        <v>186</v>
      </c>
      <c r="K25" s="290" t="s">
        <v>57</v>
      </c>
      <c r="L25" s="292" t="s">
        <v>246</v>
      </c>
      <c r="M25" s="290" t="s">
        <v>57</v>
      </c>
      <c r="O25" s="11">
        <v>1</v>
      </c>
      <c r="P25" s="11">
        <v>2</v>
      </c>
      <c r="R25" s="292" t="s">
        <v>97</v>
      </c>
      <c r="S25" s="4">
        <v>108605</v>
      </c>
      <c r="T25" s="4">
        <v>109311</v>
      </c>
      <c r="U25" s="4">
        <v>108605</v>
      </c>
    </row>
    <row r="26" spans="2:25" x14ac:dyDescent="0.25">
      <c r="B26" s="186" t="s">
        <v>95</v>
      </c>
      <c r="C26" s="11">
        <v>2</v>
      </c>
      <c r="D26" s="11">
        <v>2</v>
      </c>
      <c r="E26" s="199">
        <f>C26/D26</f>
        <v>1</v>
      </c>
      <c r="F26" s="199">
        <f>C26/$C$60</f>
        <v>5.4316830069797124E-5</v>
      </c>
      <c r="G26" s="291"/>
      <c r="H26" s="293"/>
      <c r="I26" s="293"/>
      <c r="J26" s="291"/>
      <c r="K26" s="291"/>
      <c r="L26" s="293"/>
      <c r="M26" s="291"/>
      <c r="O26" s="196" t="s">
        <v>1</v>
      </c>
      <c r="P26" s="196" t="s">
        <v>190</v>
      </c>
      <c r="R26" s="293"/>
      <c r="S26" s="4">
        <v>14602</v>
      </c>
      <c r="T26" s="4">
        <v>12580</v>
      </c>
      <c r="U26" s="4">
        <v>14602</v>
      </c>
    </row>
    <row r="27" spans="2:25" x14ac:dyDescent="0.25">
      <c r="B27" s="186" t="s">
        <v>81</v>
      </c>
      <c r="C27" s="11">
        <v>199</v>
      </c>
      <c r="D27" s="11">
        <v>166</v>
      </c>
      <c r="E27" s="199">
        <f t="shared" ref="E27:E59" si="2">C27/D27</f>
        <v>1.1987951807228916</v>
      </c>
      <c r="F27" s="199">
        <f t="shared" ref="F27:F59" si="3">C27/$C$60</f>
        <v>5.4045245919448143E-3</v>
      </c>
      <c r="G27" s="2" t="s">
        <v>13</v>
      </c>
      <c r="H27" s="4">
        <v>15392157</v>
      </c>
      <c r="I27" s="5">
        <v>1.01</v>
      </c>
      <c r="J27" s="4">
        <v>15795457</v>
      </c>
      <c r="K27" s="284">
        <f>J27/H27</f>
        <v>1.0262016558173102</v>
      </c>
      <c r="L27" s="5">
        <v>1.06</v>
      </c>
      <c r="M27" s="284">
        <f>L27/I27</f>
        <v>1.0495049504950495</v>
      </c>
      <c r="O27" s="139" t="s">
        <v>13</v>
      </c>
      <c r="P27" s="286">
        <v>0.9479117415287629</v>
      </c>
      <c r="R27" s="4">
        <v>115048</v>
      </c>
      <c r="S27" s="4">
        <v>20863</v>
      </c>
      <c r="T27" s="4">
        <v>21593</v>
      </c>
      <c r="U27" s="4">
        <v>20863</v>
      </c>
    </row>
    <row r="28" spans="2:25" x14ac:dyDescent="0.25">
      <c r="B28" s="186" t="s">
        <v>66</v>
      </c>
      <c r="C28" s="11">
        <v>50</v>
      </c>
      <c r="D28" s="11">
        <v>116</v>
      </c>
      <c r="E28" s="199">
        <f t="shared" si="2"/>
        <v>0.43103448275862066</v>
      </c>
      <c r="F28" s="199">
        <f t="shared" si="3"/>
        <v>1.3579207517449281E-3</v>
      </c>
      <c r="G28" s="3" t="s">
        <v>26</v>
      </c>
      <c r="H28" s="4">
        <v>1598700</v>
      </c>
      <c r="I28" s="5">
        <v>0.86</v>
      </c>
      <c r="J28" s="4">
        <v>1123508</v>
      </c>
      <c r="K28" s="284">
        <f t="shared" ref="K28:K58" si="4">J28/H28</f>
        <v>0.70276349533996374</v>
      </c>
      <c r="L28" s="5">
        <v>0.81</v>
      </c>
      <c r="M28" s="284">
        <f t="shared" ref="M28:M55" si="5">L28/I28</f>
        <v>0.94186046511627919</v>
      </c>
      <c r="O28" s="140" t="s">
        <v>14</v>
      </c>
      <c r="P28" s="24">
        <v>1.0733333333333333</v>
      </c>
      <c r="R28" s="4">
        <v>11848</v>
      </c>
      <c r="S28" s="4">
        <v>10844</v>
      </c>
      <c r="T28" s="4">
        <v>13779</v>
      </c>
      <c r="U28" s="4">
        <v>10844</v>
      </c>
    </row>
    <row r="29" spans="2:25" x14ac:dyDescent="0.25">
      <c r="B29" s="186" t="s">
        <v>68</v>
      </c>
      <c r="C29" s="11">
        <v>137</v>
      </c>
      <c r="D29" s="11">
        <v>170</v>
      </c>
      <c r="E29" s="199">
        <f t="shared" si="2"/>
        <v>0.80588235294117649</v>
      </c>
      <c r="F29" s="199">
        <f t="shared" si="3"/>
        <v>3.7207028597811033E-3</v>
      </c>
      <c r="G29" s="3" t="s">
        <v>16</v>
      </c>
      <c r="H29" s="4">
        <v>3284657</v>
      </c>
      <c r="I29" s="5">
        <v>1.03</v>
      </c>
      <c r="J29" s="4">
        <v>3076897</v>
      </c>
      <c r="K29" s="284">
        <f t="shared" si="4"/>
        <v>0.93674834236877702</v>
      </c>
      <c r="L29" s="5">
        <v>1.04</v>
      </c>
      <c r="M29" s="284">
        <f t="shared" si="5"/>
        <v>1.0097087378640777</v>
      </c>
      <c r="O29" s="140" t="s">
        <v>15</v>
      </c>
      <c r="P29" s="24">
        <v>1.1111111111111112</v>
      </c>
      <c r="R29" s="4">
        <v>21687</v>
      </c>
      <c r="S29" s="4">
        <v>17424</v>
      </c>
      <c r="T29" s="4">
        <v>14798</v>
      </c>
      <c r="U29" s="4">
        <v>17424</v>
      </c>
    </row>
    <row r="30" spans="2:25" x14ac:dyDescent="0.25">
      <c r="B30" s="186" t="s">
        <v>69</v>
      </c>
      <c r="C30" s="11">
        <v>11</v>
      </c>
      <c r="D30" s="11">
        <v>10</v>
      </c>
      <c r="E30" s="199">
        <f t="shared" si="2"/>
        <v>1.1000000000000001</v>
      </c>
      <c r="F30" s="199">
        <f t="shared" si="3"/>
        <v>2.9874256538388419E-4</v>
      </c>
      <c r="G30" s="3" t="s">
        <v>25</v>
      </c>
      <c r="H30" s="4">
        <v>3645265</v>
      </c>
      <c r="I30" s="5">
        <v>1.27</v>
      </c>
      <c r="J30" s="4">
        <v>2864761</v>
      </c>
      <c r="K30" s="284">
        <f t="shared" si="4"/>
        <v>0.78588552546934176</v>
      </c>
      <c r="L30" s="5">
        <v>1.57</v>
      </c>
      <c r="M30" s="284">
        <f t="shared" si="5"/>
        <v>1.2362204724409449</v>
      </c>
      <c r="O30" s="140" t="s">
        <v>16</v>
      </c>
      <c r="P30" s="24">
        <v>0.99061213991769548</v>
      </c>
      <c r="R30" s="4">
        <v>17074</v>
      </c>
      <c r="S30" s="5">
        <v>770</v>
      </c>
      <c r="T30" s="5">
        <v>788</v>
      </c>
      <c r="U30" s="5">
        <v>770</v>
      </c>
    </row>
    <row r="31" spans="2:25" x14ac:dyDescent="0.25">
      <c r="B31" s="186" t="s">
        <v>70</v>
      </c>
      <c r="C31" s="11">
        <v>80</v>
      </c>
      <c r="D31" s="11">
        <v>70</v>
      </c>
      <c r="E31" s="199">
        <f t="shared" si="2"/>
        <v>1.1428571428571428</v>
      </c>
      <c r="F31" s="199">
        <f t="shared" si="3"/>
        <v>2.1726732027918852E-3</v>
      </c>
      <c r="G31" s="3" t="s">
        <v>18</v>
      </c>
      <c r="H31" s="4">
        <v>2100000</v>
      </c>
      <c r="I31" s="5">
        <v>0.85</v>
      </c>
      <c r="J31" s="4">
        <v>2015930</v>
      </c>
      <c r="K31" s="284">
        <f t="shared" si="4"/>
        <v>0.95996666666666663</v>
      </c>
      <c r="L31" s="5">
        <v>0.85</v>
      </c>
      <c r="M31" s="284">
        <f t="shared" si="5"/>
        <v>1</v>
      </c>
      <c r="O31" s="140" t="s">
        <v>17</v>
      </c>
      <c r="P31" s="24">
        <v>1.0928712570299437</v>
      </c>
      <c r="R31" s="4">
        <v>14758</v>
      </c>
      <c r="S31" s="4">
        <v>1089</v>
      </c>
      <c r="T31" s="4">
        <v>2154</v>
      </c>
      <c r="U31" s="4">
        <v>1089</v>
      </c>
    </row>
    <row r="32" spans="2:25" x14ac:dyDescent="0.25">
      <c r="B32" s="186" t="s">
        <v>82</v>
      </c>
      <c r="C32" s="11">
        <v>22</v>
      </c>
      <c r="D32" s="11">
        <v>43</v>
      </c>
      <c r="E32" s="199">
        <f t="shared" si="2"/>
        <v>0.51162790697674421</v>
      </c>
      <c r="F32" s="199">
        <f t="shared" si="3"/>
        <v>5.9748513076776839E-4</v>
      </c>
      <c r="G32" s="3" t="s">
        <v>66</v>
      </c>
      <c r="H32" s="5"/>
      <c r="I32" s="5">
        <v>1.02</v>
      </c>
      <c r="J32" s="5"/>
      <c r="K32" s="284" t="e">
        <f t="shared" si="4"/>
        <v>#DIV/0!</v>
      </c>
      <c r="L32" s="5">
        <v>0.88</v>
      </c>
      <c r="M32" s="284">
        <f t="shared" si="5"/>
        <v>0.86274509803921573</v>
      </c>
      <c r="O32" s="140" t="s">
        <v>18</v>
      </c>
      <c r="P32" s="24">
        <v>0.98552128346495793</v>
      </c>
      <c r="R32" s="5">
        <v>677</v>
      </c>
      <c r="S32" s="5">
        <v>107</v>
      </c>
      <c r="T32" s="5">
        <v>127</v>
      </c>
      <c r="U32" s="5">
        <v>107</v>
      </c>
    </row>
    <row r="33" spans="2:21" x14ac:dyDescent="0.25">
      <c r="B33" s="186" t="s">
        <v>26</v>
      </c>
      <c r="C33" s="11">
        <v>804</v>
      </c>
      <c r="D33" s="11">
        <v>823</v>
      </c>
      <c r="E33" s="199">
        <f t="shared" si="2"/>
        <v>0.97691373025516404</v>
      </c>
      <c r="F33" s="199">
        <f t="shared" si="3"/>
        <v>2.1835365688058446E-2</v>
      </c>
      <c r="G33" s="3" t="s">
        <v>68</v>
      </c>
      <c r="H33" s="5"/>
      <c r="I33" s="5">
        <v>1.98</v>
      </c>
      <c r="J33" s="5">
        <v>961</v>
      </c>
      <c r="K33" s="284" t="e">
        <f t="shared" si="4"/>
        <v>#DIV/0!</v>
      </c>
      <c r="L33" s="5">
        <v>1.26</v>
      </c>
      <c r="M33" s="284">
        <f t="shared" si="5"/>
        <v>0.63636363636363635</v>
      </c>
      <c r="O33" s="140" t="s">
        <v>19</v>
      </c>
      <c r="P33" s="24">
        <v>1.060882044488602</v>
      </c>
      <c r="R33" s="4">
        <v>1377</v>
      </c>
      <c r="S33" s="5">
        <v>762</v>
      </c>
      <c r="T33" s="5">
        <v>780</v>
      </c>
      <c r="U33" s="5">
        <v>762</v>
      </c>
    </row>
    <row r="34" spans="2:21" x14ac:dyDescent="0.25">
      <c r="B34" s="186" t="s">
        <v>13</v>
      </c>
      <c r="C34" s="11">
        <v>10885</v>
      </c>
      <c r="D34" s="11">
        <v>9768</v>
      </c>
      <c r="E34" s="199">
        <f t="shared" si="2"/>
        <v>1.1143529893529893</v>
      </c>
      <c r="F34" s="199">
        <f t="shared" si="3"/>
        <v>0.29561934765487086</v>
      </c>
      <c r="G34" s="3" t="s">
        <v>69</v>
      </c>
      <c r="H34" s="5"/>
      <c r="I34" s="5">
        <v>1.19</v>
      </c>
      <c r="J34" s="5"/>
      <c r="K34" s="284" t="e">
        <f t="shared" si="4"/>
        <v>#DIV/0!</v>
      </c>
      <c r="L34" s="5" t="s">
        <v>67</v>
      </c>
      <c r="M34" s="284" t="e">
        <f t="shared" si="5"/>
        <v>#VALUE!</v>
      </c>
      <c r="O34" s="140" t="s">
        <v>20</v>
      </c>
      <c r="P34" s="24">
        <v>1.0398739525744016</v>
      </c>
      <c r="R34" s="5"/>
      <c r="S34" s="5">
        <v>329</v>
      </c>
      <c r="T34" s="5">
        <v>339</v>
      </c>
      <c r="U34" s="5">
        <v>329</v>
      </c>
    </row>
    <row r="35" spans="2:21" x14ac:dyDescent="0.25">
      <c r="B35" s="186" t="s">
        <v>15</v>
      </c>
      <c r="C35" s="11">
        <v>5077</v>
      </c>
      <c r="D35" s="11">
        <v>5340</v>
      </c>
      <c r="E35" s="199">
        <f t="shared" si="2"/>
        <v>0.95074906367041201</v>
      </c>
      <c r="F35" s="199">
        <f t="shared" si="3"/>
        <v>0.13788327313218002</v>
      </c>
      <c r="G35" s="3" t="s">
        <v>70</v>
      </c>
      <c r="H35" s="5"/>
      <c r="I35" s="5">
        <v>1.02</v>
      </c>
      <c r="J35" s="5"/>
      <c r="K35" s="284" t="e">
        <f t="shared" si="4"/>
        <v>#DIV/0!</v>
      </c>
      <c r="L35" s="5">
        <v>0.18</v>
      </c>
      <c r="M35" s="284">
        <f t="shared" si="5"/>
        <v>0.1764705882352941</v>
      </c>
      <c r="O35" s="140" t="s">
        <v>21</v>
      </c>
      <c r="P35" s="24">
        <v>0.96845124282982786</v>
      </c>
      <c r="R35" s="5">
        <v>134</v>
      </c>
      <c r="S35" s="5">
        <v>343</v>
      </c>
      <c r="T35" s="5">
        <v>351</v>
      </c>
      <c r="U35" s="5">
        <v>343</v>
      </c>
    </row>
    <row r="36" spans="2:21" x14ac:dyDescent="0.25">
      <c r="B36" s="186" t="s">
        <v>83</v>
      </c>
      <c r="C36" s="11">
        <v>215</v>
      </c>
      <c r="D36" s="11">
        <v>201</v>
      </c>
      <c r="E36" s="199">
        <f t="shared" si="2"/>
        <v>1.0696517412935322</v>
      </c>
      <c r="F36" s="199">
        <f t="shared" si="3"/>
        <v>5.8390592325031909E-3</v>
      </c>
      <c r="G36" s="3" t="s">
        <v>71</v>
      </c>
      <c r="H36" s="5"/>
      <c r="I36" s="5">
        <v>1.03</v>
      </c>
      <c r="J36" s="5"/>
      <c r="K36" s="284" t="e">
        <f t="shared" si="4"/>
        <v>#DIV/0!</v>
      </c>
      <c r="L36" s="5" t="s">
        <v>67</v>
      </c>
      <c r="M36" s="284" t="e">
        <f t="shared" si="5"/>
        <v>#VALUE!</v>
      </c>
      <c r="O36" s="140" t="s">
        <v>22</v>
      </c>
      <c r="P36" s="24">
        <v>1.1111111111111112</v>
      </c>
      <c r="R36" s="5"/>
      <c r="S36" s="5">
        <v>660</v>
      </c>
      <c r="T36" s="5">
        <v>679</v>
      </c>
      <c r="U36" s="5">
        <v>660</v>
      </c>
    </row>
    <row r="37" spans="2:21" x14ac:dyDescent="0.25">
      <c r="B37" s="186" t="s">
        <v>71</v>
      </c>
      <c r="C37" s="11">
        <v>35</v>
      </c>
      <c r="D37" s="11">
        <v>44</v>
      </c>
      <c r="E37" s="199">
        <f t="shared" si="2"/>
        <v>0.79545454545454541</v>
      </c>
      <c r="F37" s="199">
        <f t="shared" si="3"/>
        <v>9.5054452622144977E-4</v>
      </c>
      <c r="G37" s="3" t="s">
        <v>72</v>
      </c>
      <c r="H37" s="5"/>
      <c r="I37" s="5">
        <v>1.02</v>
      </c>
      <c r="J37" s="5"/>
      <c r="K37" s="284" t="e">
        <f t="shared" si="4"/>
        <v>#DIV/0!</v>
      </c>
      <c r="L37" s="5">
        <v>1.6</v>
      </c>
      <c r="M37" s="284">
        <f t="shared" si="5"/>
        <v>1.5686274509803921</v>
      </c>
      <c r="O37" s="140" t="s">
        <v>23</v>
      </c>
      <c r="P37" s="24">
        <v>1.0808080808080807</v>
      </c>
      <c r="R37" s="5">
        <v>549</v>
      </c>
      <c r="S37" s="4">
        <v>2011</v>
      </c>
      <c r="T37" s="4">
        <v>3970</v>
      </c>
      <c r="U37" s="4">
        <v>2011</v>
      </c>
    </row>
    <row r="38" spans="2:21" x14ac:dyDescent="0.25">
      <c r="B38" s="186" t="s">
        <v>22</v>
      </c>
      <c r="C38" s="11">
        <v>1300</v>
      </c>
      <c r="D38" s="11">
        <v>1786</v>
      </c>
      <c r="E38" s="199">
        <f t="shared" si="2"/>
        <v>0.72788353863381861</v>
      </c>
      <c r="F38" s="199">
        <f t="shared" si="3"/>
        <v>3.5305939545368134E-2</v>
      </c>
      <c r="G38" s="3" t="s">
        <v>73</v>
      </c>
      <c r="H38" s="5"/>
      <c r="I38" s="5">
        <v>1.03</v>
      </c>
      <c r="J38" s="5"/>
      <c r="K38" s="284" t="e">
        <f t="shared" si="4"/>
        <v>#DIV/0!</v>
      </c>
      <c r="L38" s="5">
        <v>0.13</v>
      </c>
      <c r="M38" s="284">
        <f t="shared" si="5"/>
        <v>0.12621359223300971</v>
      </c>
      <c r="O38" s="140" t="s">
        <v>25</v>
      </c>
      <c r="P38" s="24">
        <v>0.98309178743961345</v>
      </c>
      <c r="R38" s="5">
        <v>83</v>
      </c>
      <c r="S38" s="5">
        <v>530</v>
      </c>
      <c r="T38" s="5">
        <v>541</v>
      </c>
      <c r="U38" s="5">
        <v>530</v>
      </c>
    </row>
    <row r="39" spans="2:21" x14ac:dyDescent="0.25">
      <c r="B39" s="186" t="s">
        <v>16</v>
      </c>
      <c r="C39" s="11">
        <v>1295</v>
      </c>
      <c r="D39" s="11">
        <v>1261</v>
      </c>
      <c r="E39" s="199">
        <f t="shared" si="2"/>
        <v>1.0269627279936557</v>
      </c>
      <c r="F39" s="199">
        <f t="shared" si="3"/>
        <v>3.517014747019364E-2</v>
      </c>
      <c r="G39" s="3" t="s">
        <v>74</v>
      </c>
      <c r="H39" s="4">
        <v>70000</v>
      </c>
      <c r="I39" s="5">
        <v>1.97</v>
      </c>
      <c r="J39" s="4">
        <v>24017</v>
      </c>
      <c r="K39" s="284">
        <f t="shared" si="4"/>
        <v>0.34310000000000002</v>
      </c>
      <c r="L39" s="5">
        <v>1.85</v>
      </c>
      <c r="M39" s="284">
        <f t="shared" si="5"/>
        <v>0.93908629441624369</v>
      </c>
      <c r="O39" s="140" t="s">
        <v>26</v>
      </c>
      <c r="P39" s="24">
        <v>1.0789458834151571</v>
      </c>
      <c r="R39" s="4">
        <v>3722</v>
      </c>
      <c r="S39" s="5">
        <v>276</v>
      </c>
      <c r="T39" s="5"/>
      <c r="U39" s="5">
        <v>276</v>
      </c>
    </row>
    <row r="40" spans="2:21" x14ac:dyDescent="0.25">
      <c r="B40" s="186" t="s">
        <v>19</v>
      </c>
      <c r="C40" s="11">
        <v>1558</v>
      </c>
      <c r="D40" s="11">
        <v>1803</v>
      </c>
      <c r="E40" s="199">
        <f t="shared" si="2"/>
        <v>0.86411536328341654</v>
      </c>
      <c r="F40" s="199">
        <f t="shared" si="3"/>
        <v>4.2312810624371963E-2</v>
      </c>
      <c r="G40" s="3" t="s">
        <v>75</v>
      </c>
      <c r="H40" s="5"/>
      <c r="I40" s="5">
        <v>1.02</v>
      </c>
      <c r="J40" s="5"/>
      <c r="K40" s="284" t="e">
        <f t="shared" si="4"/>
        <v>#DIV/0!</v>
      </c>
      <c r="L40" s="5" t="s">
        <v>67</v>
      </c>
      <c r="M40" s="284" t="e">
        <f t="shared" si="5"/>
        <v>#VALUE!</v>
      </c>
      <c r="O40" s="140" t="s">
        <v>27</v>
      </c>
      <c r="P40" s="24">
        <v>0.88695569789188755</v>
      </c>
      <c r="R40" s="5"/>
      <c r="S40" s="5">
        <v>422</v>
      </c>
      <c r="T40" s="5">
        <v>834</v>
      </c>
      <c r="U40" s="5">
        <v>422</v>
      </c>
    </row>
    <row r="41" spans="2:21" x14ac:dyDescent="0.25">
      <c r="B41" s="186" t="s">
        <v>72</v>
      </c>
      <c r="C41" s="11">
        <v>39</v>
      </c>
      <c r="D41" s="11">
        <v>43</v>
      </c>
      <c r="E41" s="199">
        <f t="shared" si="2"/>
        <v>0.90697674418604646</v>
      </c>
      <c r="F41" s="199">
        <f t="shared" si="3"/>
        <v>1.059178186361044E-3</v>
      </c>
      <c r="G41" s="3" t="s">
        <v>77</v>
      </c>
      <c r="H41" s="5"/>
      <c r="I41" s="5"/>
      <c r="J41" s="5"/>
      <c r="K41" s="284" t="e">
        <f t="shared" si="4"/>
        <v>#DIV/0!</v>
      </c>
      <c r="L41" s="5">
        <v>0.48</v>
      </c>
      <c r="M41" s="284" t="e">
        <f t="shared" si="5"/>
        <v>#DIV/0!</v>
      </c>
      <c r="O41" s="140" t="s">
        <v>78</v>
      </c>
      <c r="P41" s="24">
        <v>0.60128184667716489</v>
      </c>
      <c r="R41" s="5">
        <v>132</v>
      </c>
      <c r="S41" s="5">
        <v>165</v>
      </c>
      <c r="T41" s="5">
        <v>323</v>
      </c>
      <c r="U41" s="5">
        <v>165</v>
      </c>
    </row>
    <row r="42" spans="2:21" x14ac:dyDescent="0.25">
      <c r="B42" s="186" t="s">
        <v>73</v>
      </c>
      <c r="C42" s="11">
        <v>29</v>
      </c>
      <c r="D42" s="11">
        <v>51</v>
      </c>
      <c r="E42" s="199">
        <f t="shared" si="2"/>
        <v>0.56862745098039214</v>
      </c>
      <c r="F42" s="199">
        <f t="shared" si="3"/>
        <v>7.8759403601205832E-4</v>
      </c>
      <c r="G42" s="3" t="s">
        <v>79</v>
      </c>
      <c r="H42" s="5"/>
      <c r="I42" s="5">
        <v>1.98</v>
      </c>
      <c r="J42" s="4">
        <v>30934</v>
      </c>
      <c r="K42" s="284" t="e">
        <f t="shared" si="4"/>
        <v>#DIV/0!</v>
      </c>
      <c r="L42" s="5">
        <v>2.3199999999999998</v>
      </c>
      <c r="M42" s="284">
        <f t="shared" si="5"/>
        <v>1.1717171717171717</v>
      </c>
      <c r="O42" s="140" t="s">
        <v>84</v>
      </c>
      <c r="P42" s="24">
        <v>1.9770660340055358E-3</v>
      </c>
      <c r="R42" s="5">
        <v>980</v>
      </c>
      <c r="S42" s="4">
        <v>9431</v>
      </c>
      <c r="T42" s="4">
        <v>9680</v>
      </c>
      <c r="U42" s="4">
        <v>9431</v>
      </c>
    </row>
    <row r="43" spans="2:21" x14ac:dyDescent="0.25">
      <c r="B43" s="186" t="s">
        <v>23</v>
      </c>
      <c r="C43" s="11">
        <v>1508</v>
      </c>
      <c r="D43" s="11">
        <v>1685</v>
      </c>
      <c r="E43" s="199">
        <f t="shared" si="2"/>
        <v>0.89495548961424332</v>
      </c>
      <c r="F43" s="199">
        <f t="shared" si="3"/>
        <v>4.0954889872627034E-2</v>
      </c>
      <c r="G43" s="3" t="s">
        <v>80</v>
      </c>
      <c r="H43" s="5"/>
      <c r="I43" s="5">
        <v>1.96</v>
      </c>
      <c r="J43" s="5"/>
      <c r="K43" s="284" t="e">
        <f t="shared" si="4"/>
        <v>#DIV/0!</v>
      </c>
      <c r="L43" s="5" t="s">
        <v>67</v>
      </c>
      <c r="M43" s="284" t="e">
        <f t="shared" si="5"/>
        <v>#VALUE!</v>
      </c>
      <c r="O43" s="140" t="s">
        <v>81</v>
      </c>
      <c r="P43" s="24">
        <v>0.96546546546546541</v>
      </c>
      <c r="R43" s="5"/>
      <c r="S43" s="4">
        <v>30081</v>
      </c>
      <c r="T43" s="4">
        <v>23105</v>
      </c>
      <c r="U43" s="4">
        <v>30081</v>
      </c>
    </row>
    <row r="44" spans="2:21" x14ac:dyDescent="0.25">
      <c r="B44" s="186" t="s">
        <v>84</v>
      </c>
      <c r="C44" s="11">
        <v>155</v>
      </c>
      <c r="D44" s="11">
        <v>63</v>
      </c>
      <c r="E44" s="199">
        <f t="shared" si="2"/>
        <v>2.4603174603174605</v>
      </c>
      <c r="F44" s="199">
        <f t="shared" si="3"/>
        <v>4.2095543304092771E-3</v>
      </c>
      <c r="G44" s="3" t="s">
        <v>76</v>
      </c>
      <c r="H44" s="4">
        <v>520000</v>
      </c>
      <c r="I44" s="5">
        <v>1.03</v>
      </c>
      <c r="J44" s="4">
        <v>276792</v>
      </c>
      <c r="K44" s="284">
        <f t="shared" si="4"/>
        <v>0.53229230769230773</v>
      </c>
      <c r="L44" s="5">
        <v>0.59</v>
      </c>
      <c r="M44" s="284">
        <f t="shared" si="5"/>
        <v>0.57281553398058249</v>
      </c>
      <c r="O44" s="140" t="s">
        <v>82</v>
      </c>
      <c r="P44" s="24">
        <v>0.29751062537947787</v>
      </c>
      <c r="R44" s="4">
        <v>5519</v>
      </c>
      <c r="S44" s="4">
        <v>11820</v>
      </c>
      <c r="T44" s="4">
        <v>16454</v>
      </c>
      <c r="U44" s="4">
        <v>11820</v>
      </c>
    </row>
    <row r="45" spans="2:21" x14ac:dyDescent="0.25">
      <c r="B45" s="186" t="s">
        <v>20</v>
      </c>
      <c r="C45" s="11">
        <v>1915</v>
      </c>
      <c r="D45" s="11">
        <v>1958</v>
      </c>
      <c r="E45" s="199">
        <f t="shared" si="2"/>
        <v>0.97803881511746682</v>
      </c>
      <c r="F45" s="199">
        <f t="shared" si="3"/>
        <v>5.2008364791830748E-2</v>
      </c>
      <c r="G45" s="3" t="s">
        <v>17</v>
      </c>
      <c r="H45" s="4">
        <v>3256524</v>
      </c>
      <c r="I45" s="5">
        <v>0.77</v>
      </c>
      <c r="J45" s="4">
        <v>2743425</v>
      </c>
      <c r="K45" s="284">
        <f t="shared" si="4"/>
        <v>0.84243966880022991</v>
      </c>
      <c r="L45" s="5">
        <v>0.77</v>
      </c>
      <c r="M45" s="284">
        <f t="shared" si="5"/>
        <v>1</v>
      </c>
      <c r="O45" s="140" t="s">
        <v>83</v>
      </c>
      <c r="P45" s="24">
        <v>1.1111111111111112</v>
      </c>
      <c r="R45" s="4">
        <v>23230</v>
      </c>
      <c r="S45" s="4">
        <v>12131</v>
      </c>
      <c r="T45" s="4">
        <v>12322</v>
      </c>
      <c r="U45" s="4">
        <v>12131</v>
      </c>
    </row>
    <row r="46" spans="2:21" x14ac:dyDescent="0.25">
      <c r="B46" s="186" t="s">
        <v>74</v>
      </c>
      <c r="C46" s="11">
        <v>190</v>
      </c>
      <c r="D46" s="11">
        <v>271</v>
      </c>
      <c r="E46" s="199">
        <f t="shared" si="2"/>
        <v>0.70110701107011075</v>
      </c>
      <c r="F46" s="199">
        <f t="shared" si="3"/>
        <v>5.1600988566307274E-3</v>
      </c>
      <c r="G46" s="2" t="s">
        <v>23</v>
      </c>
      <c r="H46" s="4">
        <v>1741134</v>
      </c>
      <c r="I46" s="5">
        <v>1.39</v>
      </c>
      <c r="J46" s="4">
        <v>2147995</v>
      </c>
      <c r="K46" s="284">
        <f t="shared" si="4"/>
        <v>1.2336758687154463</v>
      </c>
      <c r="L46" s="5">
        <v>1.37</v>
      </c>
      <c r="M46" s="284">
        <f t="shared" si="5"/>
        <v>0.98561151079136711</v>
      </c>
      <c r="R46" s="4">
        <v>16244</v>
      </c>
      <c r="S46" s="4">
        <v>13352</v>
      </c>
      <c r="T46" s="4">
        <v>15665</v>
      </c>
      <c r="U46" s="4">
        <v>13352</v>
      </c>
    </row>
    <row r="47" spans="2:21" x14ac:dyDescent="0.25">
      <c r="B47" s="186" t="s">
        <v>21</v>
      </c>
      <c r="C47" s="11">
        <v>859</v>
      </c>
      <c r="D47" s="11">
        <v>987</v>
      </c>
      <c r="E47" s="199">
        <f t="shared" si="2"/>
        <v>0.87031408308004055</v>
      </c>
      <c r="F47" s="199">
        <f t="shared" si="3"/>
        <v>2.3329078514977866E-2</v>
      </c>
      <c r="G47" s="2" t="s">
        <v>19</v>
      </c>
      <c r="H47" s="4">
        <v>1869902</v>
      </c>
      <c r="I47" s="5">
        <v>1.02</v>
      </c>
      <c r="J47" s="4">
        <v>1887323</v>
      </c>
      <c r="K47" s="284">
        <f t="shared" si="4"/>
        <v>1.0093165310267598</v>
      </c>
      <c r="L47" s="5">
        <v>0.96</v>
      </c>
      <c r="M47" s="284">
        <f t="shared" si="5"/>
        <v>0.94117647058823528</v>
      </c>
      <c r="R47" s="4">
        <v>11670</v>
      </c>
      <c r="S47" s="4">
        <v>5429</v>
      </c>
      <c r="T47" s="4">
        <v>4956</v>
      </c>
      <c r="U47" s="4">
        <v>5429</v>
      </c>
    </row>
    <row r="48" spans="2:21" x14ac:dyDescent="0.25">
      <c r="B48" s="186" t="s">
        <v>14</v>
      </c>
      <c r="C48" s="11">
        <v>5070</v>
      </c>
      <c r="D48" s="11">
        <v>5427</v>
      </c>
      <c r="E48" s="199">
        <f t="shared" si="2"/>
        <v>0.93421779988944165</v>
      </c>
      <c r="F48" s="199">
        <f t="shared" si="3"/>
        <v>0.13769316422693573</v>
      </c>
      <c r="G48" s="2" t="s">
        <v>20</v>
      </c>
      <c r="H48" s="4">
        <v>1902532</v>
      </c>
      <c r="I48" s="5">
        <v>1.17</v>
      </c>
      <c r="J48" s="4">
        <v>2082925</v>
      </c>
      <c r="K48" s="284">
        <f t="shared" si="4"/>
        <v>1.0948173276454745</v>
      </c>
      <c r="L48" s="5">
        <v>1.19</v>
      </c>
      <c r="M48" s="284">
        <f t="shared" si="5"/>
        <v>1.017094017094017</v>
      </c>
      <c r="R48" s="4">
        <v>15950</v>
      </c>
      <c r="S48" s="4">
        <v>1428</v>
      </c>
      <c r="T48" s="5"/>
      <c r="U48" s="4">
        <v>1428</v>
      </c>
    </row>
    <row r="49" spans="2:21" x14ac:dyDescent="0.25">
      <c r="B49" s="186" t="s">
        <v>17</v>
      </c>
      <c r="C49" s="11">
        <v>1480</v>
      </c>
      <c r="D49" s="11">
        <v>1691</v>
      </c>
      <c r="E49" s="199">
        <f t="shared" si="2"/>
        <v>0.87522176227084569</v>
      </c>
      <c r="F49" s="199">
        <f t="shared" si="3"/>
        <v>4.0194454251649872E-2</v>
      </c>
      <c r="G49" s="2" t="s">
        <v>21</v>
      </c>
      <c r="H49" s="4">
        <v>750373</v>
      </c>
      <c r="I49" s="5">
        <v>0.91</v>
      </c>
      <c r="J49" s="4">
        <v>733250</v>
      </c>
      <c r="K49" s="284">
        <f t="shared" si="4"/>
        <v>0.97718068214074871</v>
      </c>
      <c r="L49" s="5">
        <v>1.07</v>
      </c>
      <c r="M49" s="284">
        <f t="shared" si="5"/>
        <v>1.1758241758241759</v>
      </c>
      <c r="R49" s="4">
        <v>5820</v>
      </c>
      <c r="S49" s="5">
        <v>342</v>
      </c>
      <c r="T49" s="5"/>
      <c r="U49" s="5">
        <v>342</v>
      </c>
    </row>
    <row r="50" spans="2:21" x14ac:dyDescent="0.25">
      <c r="B50" s="186" t="s">
        <v>25</v>
      </c>
      <c r="C50" s="11">
        <v>1417</v>
      </c>
      <c r="D50" s="11">
        <v>1679</v>
      </c>
      <c r="E50" s="199">
        <f t="shared" si="2"/>
        <v>0.84395473496128648</v>
      </c>
      <c r="F50" s="199">
        <f t="shared" si="3"/>
        <v>3.8483474104451264E-2</v>
      </c>
      <c r="G50" s="3" t="s">
        <v>81</v>
      </c>
      <c r="H50" s="4">
        <v>236001</v>
      </c>
      <c r="I50" s="5"/>
      <c r="J50" s="4">
        <v>213573</v>
      </c>
      <c r="K50" s="284">
        <f t="shared" si="4"/>
        <v>0.90496650437921877</v>
      </c>
      <c r="L50" s="5" t="s">
        <v>67</v>
      </c>
      <c r="M50" s="284" t="e">
        <f t="shared" si="5"/>
        <v>#VALUE!</v>
      </c>
      <c r="R50" s="5"/>
      <c r="S50" s="4">
        <v>1681</v>
      </c>
      <c r="T50" s="5"/>
      <c r="U50" s="4">
        <v>1681</v>
      </c>
    </row>
    <row r="51" spans="2:21" x14ac:dyDescent="0.25">
      <c r="B51" s="186" t="s">
        <v>75</v>
      </c>
      <c r="C51" s="11">
        <v>37</v>
      </c>
      <c r="D51" s="11">
        <v>41</v>
      </c>
      <c r="E51" s="199">
        <f t="shared" si="2"/>
        <v>0.90243902439024393</v>
      </c>
      <c r="F51" s="199">
        <f t="shared" si="3"/>
        <v>1.0048613562912468E-3</v>
      </c>
      <c r="G51" s="3" t="s">
        <v>82</v>
      </c>
      <c r="H51" s="4">
        <v>88417</v>
      </c>
      <c r="I51" s="5"/>
      <c r="J51" s="4">
        <v>65583</v>
      </c>
      <c r="K51" s="284">
        <f t="shared" si="4"/>
        <v>0.74174649671443271</v>
      </c>
      <c r="L51" s="5" t="s">
        <v>67</v>
      </c>
      <c r="M51" s="284" t="e">
        <f t="shared" si="5"/>
        <v>#VALUE!</v>
      </c>
      <c r="R51" s="5"/>
      <c r="S51" s="4">
        <v>13860</v>
      </c>
      <c r="T51" s="4">
        <v>20436</v>
      </c>
      <c r="U51" s="4">
        <v>13860</v>
      </c>
    </row>
    <row r="52" spans="2:21" x14ac:dyDescent="0.25">
      <c r="B52" s="186" t="s">
        <v>77</v>
      </c>
      <c r="C52" s="11">
        <v>17</v>
      </c>
      <c r="D52" s="11">
        <v>25</v>
      </c>
      <c r="E52" s="199">
        <f t="shared" si="2"/>
        <v>0.68</v>
      </c>
      <c r="F52" s="199">
        <f t="shared" si="3"/>
        <v>4.6169305559327559E-4</v>
      </c>
      <c r="G52" s="3" t="s">
        <v>83</v>
      </c>
      <c r="H52" s="4">
        <v>196000</v>
      </c>
      <c r="I52" s="5"/>
      <c r="J52" s="4">
        <v>255156</v>
      </c>
      <c r="K52" s="284">
        <f t="shared" si="4"/>
        <v>1.3018163265306122</v>
      </c>
      <c r="L52" s="5" t="s">
        <v>67</v>
      </c>
      <c r="M52" s="284" t="e">
        <f t="shared" si="5"/>
        <v>#VALUE!</v>
      </c>
      <c r="R52" s="5"/>
      <c r="S52" s="4">
        <v>2318</v>
      </c>
      <c r="T52" s="4">
        <v>1177</v>
      </c>
      <c r="U52" s="4">
        <v>2318</v>
      </c>
    </row>
    <row r="53" spans="2:21" x14ac:dyDescent="0.25">
      <c r="B53" s="186" t="s">
        <v>79</v>
      </c>
      <c r="C53" s="11">
        <v>71</v>
      </c>
      <c r="D53" s="11">
        <v>79</v>
      </c>
      <c r="E53" s="199">
        <f t="shared" si="2"/>
        <v>0.89873417721518989</v>
      </c>
      <c r="F53" s="199">
        <f t="shared" si="3"/>
        <v>1.9282474674777979E-3</v>
      </c>
      <c r="G53" s="3" t="s">
        <v>22</v>
      </c>
      <c r="H53" s="4">
        <v>2500000</v>
      </c>
      <c r="I53" s="5">
        <v>1.47</v>
      </c>
      <c r="J53" s="4">
        <v>2186339</v>
      </c>
      <c r="K53" s="284">
        <f t="shared" si="4"/>
        <v>0.87453559999999997</v>
      </c>
      <c r="L53" s="5">
        <v>1.39</v>
      </c>
      <c r="M53" s="284">
        <f t="shared" si="5"/>
        <v>0.94557823129251695</v>
      </c>
      <c r="R53" s="4">
        <v>19325</v>
      </c>
      <c r="S53" s="4">
        <v>62233</v>
      </c>
      <c r="T53" s="4">
        <v>53249</v>
      </c>
      <c r="U53" s="4">
        <v>62233</v>
      </c>
    </row>
    <row r="54" spans="2:21" x14ac:dyDescent="0.25">
      <c r="B54" s="186" t="s">
        <v>172</v>
      </c>
      <c r="C54" s="11">
        <v>441</v>
      </c>
      <c r="D54" s="11">
        <v>409</v>
      </c>
      <c r="E54" s="199">
        <f t="shared" si="2"/>
        <v>1.0782396088019559</v>
      </c>
      <c r="F54" s="199">
        <f t="shared" si="3"/>
        <v>1.1976861030390267E-2</v>
      </c>
      <c r="G54" s="3" t="s">
        <v>84</v>
      </c>
      <c r="H54" s="4">
        <v>317750</v>
      </c>
      <c r="I54" s="5">
        <v>0.51</v>
      </c>
      <c r="J54" s="4">
        <v>399317</v>
      </c>
      <c r="K54" s="284">
        <f t="shared" si="4"/>
        <v>1.2567018095987412</v>
      </c>
      <c r="L54" s="5" t="s">
        <v>67</v>
      </c>
      <c r="M54" s="284" t="e">
        <f t="shared" si="5"/>
        <v>#VALUE!</v>
      </c>
      <c r="R54" s="5"/>
      <c r="S54" s="4">
        <v>31566</v>
      </c>
      <c r="T54" s="4">
        <v>41532</v>
      </c>
      <c r="U54" s="4">
        <v>31566</v>
      </c>
    </row>
    <row r="55" spans="2:21" x14ac:dyDescent="0.25">
      <c r="B55" s="186" t="s">
        <v>80</v>
      </c>
      <c r="C55" s="11">
        <v>27</v>
      </c>
      <c r="D55" s="11">
        <v>30</v>
      </c>
      <c r="E55" s="199">
        <f t="shared" si="2"/>
        <v>0.9</v>
      </c>
      <c r="F55" s="199">
        <f t="shared" si="3"/>
        <v>7.3327720594226124E-4</v>
      </c>
      <c r="G55" s="3" t="s">
        <v>14</v>
      </c>
      <c r="H55" s="4">
        <v>2344157</v>
      </c>
      <c r="I55" s="5">
        <v>0.86</v>
      </c>
      <c r="J55" s="4">
        <v>1860422</v>
      </c>
      <c r="K55" s="284">
        <f t="shared" si="4"/>
        <v>0.79364223471380113</v>
      </c>
      <c r="L55" s="5">
        <v>0.86</v>
      </c>
      <c r="M55" s="284">
        <f t="shared" si="5"/>
        <v>1</v>
      </c>
      <c r="R55" s="4">
        <v>53318</v>
      </c>
      <c r="S55" s="4">
        <f>S31+S37+S40+S41</f>
        <v>3687</v>
      </c>
      <c r="T55" s="4">
        <f>T31+T37+T40+T41</f>
        <v>7281</v>
      </c>
      <c r="U55" s="4">
        <f>U31+U37+U40+U41</f>
        <v>3687</v>
      </c>
    </row>
    <row r="56" spans="2:21" x14ac:dyDescent="0.25">
      <c r="B56" s="186" t="s">
        <v>76</v>
      </c>
      <c r="C56" s="11">
        <v>730</v>
      </c>
      <c r="D56" s="11">
        <v>923</v>
      </c>
      <c r="E56" s="199">
        <f t="shared" si="2"/>
        <v>0.79089924160346692</v>
      </c>
      <c r="F56" s="199">
        <f t="shared" si="3"/>
        <v>1.9825642975475951E-2</v>
      </c>
      <c r="G56" s="3" t="s">
        <v>15</v>
      </c>
      <c r="H56" s="4">
        <v>4624362</v>
      </c>
      <c r="I56" s="5">
        <v>1.32</v>
      </c>
      <c r="J56" s="4">
        <v>5191799</v>
      </c>
      <c r="K56" s="284">
        <f t="shared" si="4"/>
        <v>1.1227060078774109</v>
      </c>
      <c r="L56" s="5">
        <v>1.35</v>
      </c>
      <c r="M56" s="284">
        <f>L56/I56</f>
        <v>1.0227272727272727</v>
      </c>
      <c r="R56" s="4">
        <v>42489</v>
      </c>
      <c r="S56" s="4">
        <f>S30+S32+S33+S34+S35+S36+S38+S39+S42</f>
        <v>13208</v>
      </c>
      <c r="T56" s="4">
        <f>T30+T32+T33+T34+T35+T36+T38+T39+T42</f>
        <v>13285</v>
      </c>
      <c r="U56" s="4">
        <f>U30+U32+U33+U34+U35+U36+U38+U39+U42</f>
        <v>13208</v>
      </c>
    </row>
    <row r="57" spans="2:21" x14ac:dyDescent="0.25">
      <c r="B57" s="186" t="s">
        <v>18</v>
      </c>
      <c r="C57" s="11">
        <v>1166</v>
      </c>
      <c r="D57" s="11">
        <v>1630</v>
      </c>
      <c r="E57" s="199">
        <f t="shared" si="2"/>
        <v>0.71533742331288341</v>
      </c>
      <c r="F57" s="199">
        <f t="shared" si="3"/>
        <v>3.1666711930691725E-2</v>
      </c>
      <c r="G57" s="3" t="s">
        <v>85</v>
      </c>
      <c r="H57" s="4">
        <f>H33+H39+H42+H43</f>
        <v>70000</v>
      </c>
      <c r="I57" s="191">
        <f>T55/U55</f>
        <v>1.9747762408462164</v>
      </c>
      <c r="J57" s="4">
        <v>55912</v>
      </c>
      <c r="K57" s="287">
        <f t="shared" si="4"/>
        <v>0.79874285714285709</v>
      </c>
      <c r="L57" s="191">
        <v>1.6487659343639816</v>
      </c>
      <c r="M57" s="284">
        <f t="shared" ref="M57:M58" si="6">L57/I57</f>
        <v>0.83491278670512292</v>
      </c>
      <c r="R57" s="4">
        <f>R33+R39+R42+R43</f>
        <v>6079</v>
      </c>
    </row>
    <row r="58" spans="2:21" x14ac:dyDescent="0.25">
      <c r="B58" s="11" t="s">
        <v>85</v>
      </c>
      <c r="C58" s="11">
        <f>C29+C46+C53+C55</f>
        <v>425</v>
      </c>
      <c r="D58" s="11">
        <v>550</v>
      </c>
      <c r="E58" s="199">
        <f t="shared" si="2"/>
        <v>0.77272727272727271</v>
      </c>
      <c r="F58" s="199">
        <f t="shared" si="3"/>
        <v>1.1542326389831889E-2</v>
      </c>
      <c r="G58" s="3" t="s">
        <v>33</v>
      </c>
      <c r="H58" s="4">
        <f>H32+H34+H35+H36+H37+H38+H40+H41+H44</f>
        <v>520000</v>
      </c>
      <c r="I58" s="191">
        <f>T56/U56</f>
        <v>1.0058298001211388</v>
      </c>
      <c r="J58" s="4">
        <v>276792</v>
      </c>
      <c r="K58" s="287">
        <f t="shared" si="4"/>
        <v>0.53229230769230773</v>
      </c>
      <c r="L58" s="191">
        <v>0.53709872804360992</v>
      </c>
      <c r="M58" s="284">
        <f t="shared" si="6"/>
        <v>0.53398569815581476</v>
      </c>
      <c r="R58" s="4">
        <f>R32+R34+R35+R36+R37+R38+R40+R41+R44</f>
        <v>7094</v>
      </c>
    </row>
    <row r="59" spans="2:21" x14ac:dyDescent="0.25">
      <c r="B59" s="11" t="s">
        <v>33</v>
      </c>
      <c r="C59" s="11">
        <f>C26+C28+C30+C31+C37+C42+C51+C52+C56+C41</f>
        <v>1030</v>
      </c>
      <c r="D59" s="11">
        <f>D26+D28+D30+D31+D37+D42+D51+D52+D56+D41</f>
        <v>1325</v>
      </c>
      <c r="E59" s="199">
        <f t="shared" si="2"/>
        <v>0.77735849056603779</v>
      </c>
      <c r="F59" s="199">
        <f t="shared" si="3"/>
        <v>2.797316748594552E-2</v>
      </c>
    </row>
    <row r="60" spans="2:21" x14ac:dyDescent="0.25">
      <c r="C60" s="11">
        <f>SUM(C26:C57)</f>
        <v>36821</v>
      </c>
    </row>
  </sheetData>
  <autoFilter ref="S4:Y4" xr:uid="{26E0153C-AB90-43BD-B08A-E56729502946}">
    <sortState xmlns:xlrd2="http://schemas.microsoft.com/office/spreadsheetml/2017/richdata2" ref="S5:Y20">
      <sortCondition ref="S4"/>
    </sortState>
  </autoFilter>
  <mergeCells count="12">
    <mergeCell ref="L25:L26"/>
    <mergeCell ref="M25:M26"/>
    <mergeCell ref="G25:G26"/>
    <mergeCell ref="H25:H26"/>
    <mergeCell ref="I25:I26"/>
    <mergeCell ref="J25:J26"/>
    <mergeCell ref="K25:K26"/>
    <mergeCell ref="R25:R26"/>
    <mergeCell ref="S23:S24"/>
    <mergeCell ref="T23:T24"/>
    <mergeCell ref="T22:U22"/>
    <mergeCell ref="U23:U24"/>
  </mergeCells>
  <pageMargins left="0.7" right="0.7" top="0.75" bottom="0.75" header="0.3" footer="0.3"/>
  <ignoredErrors>
    <ignoredError sqref="I57:I58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56E4-9733-4F30-B23D-E4B2EC369C38}">
  <dimension ref="B3:P73"/>
  <sheetViews>
    <sheetView zoomScaleNormal="100" workbookViewId="0">
      <selection activeCell="G4" sqref="G4:G18"/>
    </sheetView>
  </sheetViews>
  <sheetFormatPr baseColWidth="10" defaultColWidth="8.85546875" defaultRowHeight="15" x14ac:dyDescent="0.25"/>
  <cols>
    <col min="9" max="9" width="10.570312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1">
        <f>VLOOKUP(B4,DEC!$F$5:$L$21,DEC!$K$4,FALSE)</f>
        <v>1.0089743589743589</v>
      </c>
      <c r="D4" s="21">
        <f>VLOOKUP(B4,DEC!$F$5:$L$21,DEC!$L$4,FALSE)</f>
        <v>1.0413043478260868</v>
      </c>
      <c r="E4" s="21">
        <v>0.69</v>
      </c>
      <c r="F4" s="21">
        <f>VLOOKUP(B4,DEC!$O$26:$P$45,DEC!$P$25,FALSE)</f>
        <v>0.9479117415287629</v>
      </c>
      <c r="G4" s="21">
        <f>VLOOKUP(B4,DEC!$N$5:$O$21,DEC!$O$4,FALSE)</f>
        <v>1.0410119820885564</v>
      </c>
      <c r="H4" s="21">
        <f>VLOOKUP(B4,DEC!$B$5:$D$20,DEC!$C$4,FALSE)</f>
        <v>1</v>
      </c>
      <c r="I4" s="21">
        <v>1</v>
      </c>
      <c r="J4" s="21">
        <v>1</v>
      </c>
      <c r="K4" s="21">
        <f>VLOOKUP(B4,DEC!$G$25:$K$58,DEC!$K$24,FALSE)</f>
        <v>1.0262016558173102</v>
      </c>
      <c r="L4" s="21">
        <f>VLOOKUP(B4,DEC!$G$25:$M$58,DEC!$M$24,FALSE)</f>
        <v>1.0495049504950495</v>
      </c>
      <c r="M4" s="21">
        <f>VLOOKUP(B4,DEC!$B$25:$E$59,DEC!$E$24,FALSE)</f>
        <v>1.1143529893529893</v>
      </c>
    </row>
    <row r="5" spans="2:13" x14ac:dyDescent="0.25">
      <c r="B5" s="14" t="s">
        <v>14</v>
      </c>
      <c r="C5" s="21">
        <f>VLOOKUP(B5,DEC!$F$5:$L$21,DEC!$K$4,FALSE)</f>
        <v>1.0341463414634147</v>
      </c>
      <c r="D5" s="21">
        <f>VLOOKUP(B5,DEC!$F$5:$L$21,DEC!$L$4,FALSE)</f>
        <v>1.0153846153846153</v>
      </c>
      <c r="E5" s="21" t="s">
        <v>24</v>
      </c>
      <c r="F5" s="21">
        <f>VLOOKUP(B5,DEC!$O$26:$P$45,DEC!$P$25,FALSE)</f>
        <v>1.0733333333333333</v>
      </c>
      <c r="G5" s="21">
        <f>VLOOKUP(B5,DEC!$N$5:$O$21,DEC!$O$4,FALSE)</f>
        <v>1.1168578216891083</v>
      </c>
      <c r="H5" s="21">
        <f>VLOOKUP(B5,DEC!$B$5:$D$20,DEC!$C$4,FALSE)</f>
        <v>1</v>
      </c>
      <c r="I5" s="21">
        <v>1</v>
      </c>
      <c r="J5" s="21">
        <v>1</v>
      </c>
      <c r="K5" s="21">
        <f>VLOOKUP(B5,DEC!$G$25:$K$58,DEC!$K$24,FALSE)</f>
        <v>0.79364223471380113</v>
      </c>
      <c r="L5" s="21">
        <f>VLOOKUP(B5,DEC!$G$25:$M$58,DEC!$M$24,FALSE)</f>
        <v>1</v>
      </c>
      <c r="M5" s="21">
        <f>VLOOKUP(B5,DEC!$B$25:$E$59,DEC!$E$24,FALSE)</f>
        <v>0.93421779988944165</v>
      </c>
    </row>
    <row r="6" spans="2:13" x14ac:dyDescent="0.25">
      <c r="B6" s="14" t="s">
        <v>15</v>
      </c>
      <c r="C6" s="21">
        <f>VLOOKUP(B6,DEC!$F$5:$L$21,DEC!$K$4,FALSE)</f>
        <v>1.0315217391304348</v>
      </c>
      <c r="D6" s="21">
        <f>VLOOKUP(B6,DEC!$F$5:$L$21,DEC!$L$4,FALSE)</f>
        <v>1.0195652173913043</v>
      </c>
      <c r="E6" s="21">
        <v>0.75</v>
      </c>
      <c r="F6" s="21">
        <f>VLOOKUP(B6,DEC!$O$26:$P$45,DEC!$P$25,FALSE)</f>
        <v>1.1111111111111112</v>
      </c>
      <c r="G6" s="21">
        <f>VLOOKUP(B6,DEC!$N$5:$O$21,DEC!$O$4,FALSE)</f>
        <v>1.4352075337316501</v>
      </c>
      <c r="H6" s="21">
        <f>VLOOKUP(B6,DEC!$B$5:$D$20,DEC!$C$4,FALSE)</f>
        <v>1</v>
      </c>
      <c r="I6" s="21">
        <v>1</v>
      </c>
      <c r="J6" s="21">
        <v>1</v>
      </c>
      <c r="K6" s="21">
        <f>VLOOKUP(B6,DEC!$G$25:$K$58,DEC!$K$24,FALSE)</f>
        <v>1.1227060078774109</v>
      </c>
      <c r="L6" s="21">
        <f>VLOOKUP(B6,DEC!$G$25:$M$58,DEC!$M$24,FALSE)</f>
        <v>1.0227272727272727</v>
      </c>
      <c r="M6" s="21">
        <f>VLOOKUP(B6,DEC!$B$25:$E$59,DEC!$E$24,FALSE)</f>
        <v>0.95074906367041201</v>
      </c>
    </row>
    <row r="7" spans="2:13" x14ac:dyDescent="0.25">
      <c r="B7" s="14" t="s">
        <v>16</v>
      </c>
      <c r="C7" s="21">
        <f>VLOOKUP(B7,DEC!$F$5:$L$21,DEC!$K$4,FALSE)</f>
        <v>1.0294117647058825</v>
      </c>
      <c r="D7" s="21">
        <f>VLOOKUP(B7,DEC!$F$5:$L$21,DEC!$L$4,FALSE)</f>
        <v>1.0138297872340425</v>
      </c>
      <c r="E7" s="21">
        <v>1</v>
      </c>
      <c r="F7" s="21">
        <f>VLOOKUP(B7,DEC!$O$26:$P$45,DEC!$P$25,FALSE)</f>
        <v>0.99061213991769548</v>
      </c>
      <c r="G7" s="21">
        <f>VLOOKUP(B7,DEC!$N$5:$O$21,DEC!$O$4,FALSE)</f>
        <v>1.5066172578083645</v>
      </c>
      <c r="H7" s="21">
        <f>VLOOKUP(B7,DEC!$B$5:$D$20,DEC!$C$4,FALSE)</f>
        <v>1</v>
      </c>
      <c r="I7" s="21">
        <v>1</v>
      </c>
      <c r="J7" s="21">
        <v>1</v>
      </c>
      <c r="K7" s="21">
        <f>VLOOKUP(B7,DEC!$G$25:$K$58,DEC!$K$24,FALSE)</f>
        <v>0.93674834236877702</v>
      </c>
      <c r="L7" s="21">
        <f>VLOOKUP(B7,DEC!$G$25:$M$58,DEC!$M$24,FALSE)</f>
        <v>1.0097087378640777</v>
      </c>
      <c r="M7" s="21">
        <f>VLOOKUP(B7,DEC!$B$25:$E$59,DEC!$E$24,FALSE)</f>
        <v>1.0269627279936557</v>
      </c>
    </row>
    <row r="8" spans="2:13" x14ac:dyDescent="0.25">
      <c r="B8" s="14" t="s">
        <v>17</v>
      </c>
      <c r="C8" s="21">
        <f>VLOOKUP(B8,DEC!$F$5:$L$21,DEC!$K$4,FALSE)</f>
        <v>1.0267441860465116</v>
      </c>
      <c r="D8" s="21">
        <f>VLOOKUP(B8,DEC!$F$5:$L$21,DEC!$L$4,FALSE)</f>
        <v>1.0799999999999998</v>
      </c>
      <c r="E8" s="21">
        <v>0.7</v>
      </c>
      <c r="F8" s="21">
        <f>VLOOKUP(B8,DEC!$O$26:$P$45,DEC!$P$25,FALSE)</f>
        <v>1.0928712570299437</v>
      </c>
      <c r="G8" s="21">
        <f>VLOOKUP(B8,DEC!$N$5:$O$21,DEC!$O$4,FALSE)</f>
        <v>1.2731400628711138</v>
      </c>
      <c r="H8" s="21">
        <f>VLOOKUP(B8,DEC!$B$5:$D$20,DEC!$C$4,FALSE)</f>
        <v>1</v>
      </c>
      <c r="I8" s="21">
        <v>1</v>
      </c>
      <c r="J8" s="21">
        <v>1</v>
      </c>
      <c r="K8" s="21">
        <f>VLOOKUP(B8,DEC!$G$25:$K$58,DEC!$K$24,FALSE)</f>
        <v>0.84243966880022991</v>
      </c>
      <c r="L8" s="21">
        <f>VLOOKUP(B8,DEC!$G$25:$M$58,DEC!$M$24,FALSE)</f>
        <v>1</v>
      </c>
      <c r="M8" s="21">
        <f>VLOOKUP(B8,DEC!$B$25:$E$59,DEC!$E$24,FALSE)</f>
        <v>0.87522176227084569</v>
      </c>
    </row>
    <row r="9" spans="2:13" x14ac:dyDescent="0.25">
      <c r="B9" s="14" t="s">
        <v>18</v>
      </c>
      <c r="C9" s="21">
        <f>VLOOKUP(B9,DEC!$F$5:$L$21,DEC!$K$4,FALSE)</f>
        <v>1.0521276595744682</v>
      </c>
      <c r="D9" s="21">
        <f>VLOOKUP(B9,DEC!$F$5:$L$21,DEC!$L$4,FALSE)</f>
        <v>1.0431578947368421</v>
      </c>
      <c r="E9" s="21">
        <v>0</v>
      </c>
      <c r="F9" s="21">
        <f>VLOOKUP(B9,DEC!$O$26:$P$45,DEC!$P$25,FALSE)</f>
        <v>0.98552128346495793</v>
      </c>
      <c r="G9" s="21">
        <f>VLOOKUP(B9,DEC!$N$5:$O$21,DEC!$O$4,FALSE)</f>
        <v>1.0308548564979865</v>
      </c>
      <c r="H9" s="21">
        <f>VLOOKUP(B9,DEC!$B$5:$D$20,DEC!$C$4,FALSE)</f>
        <v>1</v>
      </c>
      <c r="I9" s="21">
        <v>1</v>
      </c>
      <c r="J9" s="21">
        <v>1</v>
      </c>
      <c r="K9" s="21">
        <f>VLOOKUP(B9,DEC!$G$25:$K$58,DEC!$K$24,FALSE)</f>
        <v>0.95996666666666663</v>
      </c>
      <c r="L9" s="21">
        <f>VLOOKUP(B9,DEC!$G$25:$M$58,DEC!$M$24,FALSE)</f>
        <v>1</v>
      </c>
      <c r="M9" s="21">
        <f>VLOOKUP(B9,DEC!$B$25:$E$59,DEC!$E$24,FALSE)</f>
        <v>0.71533742331288341</v>
      </c>
    </row>
    <row r="10" spans="2:13" x14ac:dyDescent="0.25">
      <c r="B10" s="14" t="s">
        <v>19</v>
      </c>
      <c r="C10" s="21">
        <f>VLOOKUP(B10,DEC!$F$5:$L$21,DEC!$K$4,FALSE)</f>
        <v>1.1000000000000001</v>
      </c>
      <c r="D10" s="21">
        <f>VLOOKUP(B10,DEC!$F$5:$L$21,DEC!$L$4,FALSE)</f>
        <v>1.1253012048192772</v>
      </c>
      <c r="E10" s="21">
        <v>0.4</v>
      </c>
      <c r="F10" s="21">
        <f>VLOOKUP(B10,DEC!$O$26:$P$45,DEC!$P$25,FALSE)</f>
        <v>1.060882044488602</v>
      </c>
      <c r="G10" s="21">
        <f>VLOOKUP(B10,DEC!$N$5:$O$21,DEC!$O$4,FALSE)</f>
        <v>0.98093118645547017</v>
      </c>
      <c r="H10" s="21">
        <f>VLOOKUP(B10,DEC!$B$5:$D$20,DEC!$C$4,FALSE)</f>
        <v>0.86</v>
      </c>
      <c r="I10" s="21">
        <v>1</v>
      </c>
      <c r="J10" s="21">
        <v>1</v>
      </c>
      <c r="K10" s="21">
        <f>VLOOKUP(B10,DEC!$G$25:$K$58,DEC!$K$24,FALSE)</f>
        <v>1.0093165310267598</v>
      </c>
      <c r="L10" s="21">
        <f>VLOOKUP(B10,DEC!$G$25:$M$58,DEC!$M$24,FALSE)</f>
        <v>0.94117647058823528</v>
      </c>
      <c r="M10" s="21">
        <f>VLOOKUP(B10,DEC!$B$25:$E$59,DEC!$E$24,FALSE)</f>
        <v>0.86411536328341654</v>
      </c>
    </row>
    <row r="11" spans="2:13" x14ac:dyDescent="0.25">
      <c r="B11" s="14" t="s">
        <v>20</v>
      </c>
      <c r="C11" s="21">
        <f>VLOOKUP(B11,DEC!$F$5:$L$21,DEC!$K$4,FALSE)</f>
        <v>0.96285714285714297</v>
      </c>
      <c r="D11" s="21">
        <f>VLOOKUP(B11,DEC!$F$5:$L$21,DEC!$L$4,FALSE)</f>
        <v>1.1951807228915663</v>
      </c>
      <c r="E11" s="21">
        <v>0.4</v>
      </c>
      <c r="F11" s="21">
        <f>VLOOKUP(B11,DEC!$O$26:$P$45,DEC!$P$25,FALSE)</f>
        <v>1.0398739525744016</v>
      </c>
      <c r="G11" s="21">
        <f>VLOOKUP(B11,DEC!$N$5:$O$21,DEC!$O$4,FALSE)</f>
        <v>0.94506792675723528</v>
      </c>
      <c r="H11" s="21">
        <f>VLOOKUP(B11,DEC!$B$5:$D$20,DEC!$C$4,FALSE)</f>
        <v>0.86</v>
      </c>
      <c r="I11" s="21">
        <v>1</v>
      </c>
      <c r="J11" s="21">
        <v>1</v>
      </c>
      <c r="K11" s="21">
        <f>VLOOKUP(B11,DEC!$G$25:$K$58,DEC!$K$24,FALSE)</f>
        <v>1.0948173276454745</v>
      </c>
      <c r="L11" s="21">
        <f>VLOOKUP(B11,DEC!$G$25:$M$58,DEC!$M$24,FALSE)</f>
        <v>1.017094017094017</v>
      </c>
      <c r="M11" s="21">
        <f>VLOOKUP(B11,DEC!$B$25:$E$59,DEC!$E$24,FALSE)</f>
        <v>0.97803881511746682</v>
      </c>
    </row>
    <row r="12" spans="2:13" x14ac:dyDescent="0.25">
      <c r="B12" s="14" t="s">
        <v>21</v>
      </c>
      <c r="C12" s="21">
        <f>VLOOKUP(B12,DEC!$F$5:$L$21,DEC!$K$4,FALSE)</f>
        <v>0.87428571428571433</v>
      </c>
      <c r="D12" s="21">
        <f>VLOOKUP(B12,DEC!$F$5:$L$21,DEC!$L$4,FALSE)</f>
        <v>1.0915662650602411</v>
      </c>
      <c r="E12" s="21">
        <v>0.95</v>
      </c>
      <c r="F12" s="21">
        <f>VLOOKUP(B12,DEC!$O$26:$P$45,DEC!$P$25,FALSE)</f>
        <v>0.96845124282982786</v>
      </c>
      <c r="G12" s="21">
        <f>VLOOKUP(B12,DEC!$N$5:$O$21,DEC!$O$4,FALSE)</f>
        <v>0.84428809479725997</v>
      </c>
      <c r="H12" s="21">
        <f>VLOOKUP(B12,DEC!$B$5:$D$20,DEC!$C$4,FALSE)</f>
        <v>0.86</v>
      </c>
      <c r="I12" s="21">
        <v>1</v>
      </c>
      <c r="J12" s="21">
        <v>1</v>
      </c>
      <c r="K12" s="21">
        <f>VLOOKUP(B12,DEC!$G$25:$K$58,DEC!$K$24,FALSE)</f>
        <v>0.97718068214074871</v>
      </c>
      <c r="L12" s="21">
        <f>VLOOKUP(B12,DEC!$G$25:$M$58,DEC!$M$24,FALSE)</f>
        <v>1.1758241758241759</v>
      </c>
      <c r="M12" s="21">
        <f>VLOOKUP(B12,DEC!$B$25:$E$59,DEC!$E$24,FALSE)</f>
        <v>0.87031408308004055</v>
      </c>
    </row>
    <row r="13" spans="2:13" x14ac:dyDescent="0.25">
      <c r="B13" s="14" t="s">
        <v>22</v>
      </c>
      <c r="C13" s="21">
        <f>VLOOKUP(B13,DEC!$F$5:$L$21,DEC!$K$4,FALSE)</f>
        <v>1.0900000000000001</v>
      </c>
      <c r="D13" s="21">
        <f>VLOOKUP(B13,DEC!$F$5:$L$21,DEC!$L$4,FALSE)</f>
        <v>1.0909090909090908</v>
      </c>
      <c r="E13" s="21">
        <v>0.85</v>
      </c>
      <c r="F13" s="21">
        <f>VLOOKUP(B13,DEC!$O$26:$P$45,DEC!$P$25,FALSE)</f>
        <v>1.1111111111111112</v>
      </c>
      <c r="G13" s="21">
        <f>VLOOKUP(B13,DEC!$N$5:$O$21,DEC!$O$4,FALSE)</f>
        <v>1.0955537922031378</v>
      </c>
      <c r="H13" s="21">
        <f>VLOOKUP(B13,DEC!$B$5:$D$20,DEC!$C$4,FALSE)</f>
        <v>1</v>
      </c>
      <c r="I13" s="21">
        <v>1</v>
      </c>
      <c r="J13" s="21">
        <v>1</v>
      </c>
      <c r="K13" s="21">
        <f>VLOOKUP(B13,DEC!$G$25:$K$58,DEC!$K$24,FALSE)</f>
        <v>0.87453559999999997</v>
      </c>
      <c r="L13" s="21">
        <f>VLOOKUP(B13,DEC!$G$25:$M$58,DEC!$M$24,FALSE)</f>
        <v>0.94557823129251695</v>
      </c>
      <c r="M13" s="21">
        <f>VLOOKUP(B13,DEC!$B$25:$E$59,DEC!$E$24,FALSE)</f>
        <v>0.72788353863381861</v>
      </c>
    </row>
    <row r="14" spans="2:13" x14ac:dyDescent="0.25">
      <c r="B14" s="14" t="s">
        <v>23</v>
      </c>
      <c r="C14" s="21">
        <f>VLOOKUP(B14,DEC!$F$5:$L$21,DEC!$K$4,FALSE)</f>
        <v>0.98799999999999999</v>
      </c>
      <c r="D14" s="21">
        <f>VLOOKUP(B14,DEC!$F$5:$L$21,DEC!$L$4,FALSE)</f>
        <v>1.0602409638554218</v>
      </c>
      <c r="E14" s="24">
        <v>0.6</v>
      </c>
      <c r="F14" s="21">
        <f>VLOOKUP(B14,DEC!$O$26:$P$45,DEC!$P$25,FALSE)</f>
        <v>1.0808080808080807</v>
      </c>
      <c r="G14" s="21">
        <f>VLOOKUP(B14,DEC!$N$5:$O$21,DEC!$O$4,FALSE)</f>
        <v>1.0132714336176007</v>
      </c>
      <c r="H14" s="21">
        <f>VLOOKUP(B14,DEC!$B$5:$D$20,DEC!$C$4,FALSE)</f>
        <v>1</v>
      </c>
      <c r="I14" s="23" t="s">
        <v>24</v>
      </c>
      <c r="J14" s="21">
        <v>1</v>
      </c>
      <c r="K14" s="21">
        <f>VLOOKUP(B14,DEC!$G$25:$K$58,DEC!$K$24,FALSE)</f>
        <v>1.2336758687154463</v>
      </c>
      <c r="L14" s="21">
        <f>VLOOKUP(B14,DEC!$G$25:$M$58,DEC!$M$24,FALSE)</f>
        <v>0.98561151079136711</v>
      </c>
      <c r="M14" s="21">
        <f>VLOOKUP(B14,DEC!$B$25:$E$59,DEC!$E$24,FALSE)</f>
        <v>0.89495548961424332</v>
      </c>
    </row>
    <row r="15" spans="2:13" x14ac:dyDescent="0.25">
      <c r="B15" s="14" t="s">
        <v>25</v>
      </c>
      <c r="C15" s="21">
        <f>VLOOKUP(B15,DEC!$F$5:$L$21,DEC!$K$4,FALSE)</f>
        <v>1.0392857142857144</v>
      </c>
      <c r="D15" s="21">
        <f>VLOOKUP(B15,DEC!$F$5:$L$21,DEC!$L$4,FALSE)</f>
        <v>1.0422222222222222</v>
      </c>
      <c r="E15" s="24">
        <v>0.85</v>
      </c>
      <c r="F15" s="21">
        <f>VLOOKUP(B15,DEC!$O$26:$P$45,DEC!$P$25,FALSE)</f>
        <v>0.98309178743961345</v>
      </c>
      <c r="G15" s="21">
        <f>VLOOKUP(B15,DEC!$N$5:$O$21,DEC!$O$4,FALSE)</f>
        <v>1.0457799956606635</v>
      </c>
      <c r="H15" s="21">
        <f>VLOOKUP(B15,DEC!$B$5:$D$20,DEC!$C$4,FALSE)</f>
        <v>0.86</v>
      </c>
      <c r="I15" s="23" t="s">
        <v>24</v>
      </c>
      <c r="J15" s="21">
        <v>1</v>
      </c>
      <c r="K15" s="21">
        <f>VLOOKUP(B15,DEC!$G$25:$K$58,DEC!$K$24,FALSE)</f>
        <v>0.78588552546934176</v>
      </c>
      <c r="L15" s="21">
        <f>VLOOKUP(B15,DEC!$G$25:$M$58,DEC!$M$24,FALSE)</f>
        <v>1.2362204724409449</v>
      </c>
      <c r="M15" s="21">
        <f>VLOOKUP(B15,DEC!$B$25:$E$59,DEC!$E$24,FALSE)</f>
        <v>0.84395473496128648</v>
      </c>
    </row>
    <row r="16" spans="2:13" x14ac:dyDescent="0.25">
      <c r="B16" s="14" t="s">
        <v>26</v>
      </c>
      <c r="C16" s="21">
        <f>VLOOKUP(B16,DEC!$F$5:$L$21,DEC!$K$4,FALSE)</f>
        <v>1.0576470588235294</v>
      </c>
      <c r="D16" s="21">
        <f>VLOOKUP(B16,DEC!$F$5:$L$21,DEC!$L$4,FALSE)</f>
        <v>1.0804597701149425</v>
      </c>
      <c r="E16" s="24">
        <v>0.65</v>
      </c>
      <c r="F16" s="21">
        <f>VLOOKUP(B16,DEC!$O$26:$P$45,DEC!$P$25,FALSE)</f>
        <v>1.0789458834151571</v>
      </c>
      <c r="G16" s="21">
        <f>VLOOKUP(B16,DEC!$N$5:$O$21,DEC!$O$4,FALSE)</f>
        <v>0.93592129752725317</v>
      </c>
      <c r="H16" s="21">
        <f>VLOOKUP(B16,DEC!$B$5:$D$20,DEC!$C$4,FALSE)</f>
        <v>0.86</v>
      </c>
      <c r="I16" s="23" t="s">
        <v>24</v>
      </c>
      <c r="J16" s="21">
        <v>1</v>
      </c>
      <c r="K16" s="21">
        <f>VLOOKUP(B16,DEC!$G$25:$K$58,DEC!$K$24,FALSE)</f>
        <v>0.70276349533996374</v>
      </c>
      <c r="L16" s="21">
        <f>VLOOKUP(B16,DEC!$G$25:$M$58,DEC!$M$24,FALSE)</f>
        <v>0.94186046511627919</v>
      </c>
      <c r="M16" s="21">
        <f>VLOOKUP(B16,DEC!$B$25:$E$59,DEC!$E$24,FALSE)</f>
        <v>0.97691373025516404</v>
      </c>
    </row>
    <row r="17" spans="2:16" x14ac:dyDescent="0.25">
      <c r="B17" s="14" t="s">
        <v>27</v>
      </c>
      <c r="C17" s="21">
        <f>VLOOKUP(B17,DEC!$F$5:$L$21,DEC!$K$4,FALSE)</f>
        <v>0.8014285714285716</v>
      </c>
      <c r="D17" s="21">
        <f>VLOOKUP(B17,DEC!$F$5:$L$21,DEC!$L$4,FALSE)</f>
        <v>1.053409090909091</v>
      </c>
      <c r="E17" s="24">
        <v>0.9</v>
      </c>
      <c r="F17" s="21">
        <f>VLOOKUP(B17,DEC!$O$26:$P$45,DEC!$P$25,FALSE)</f>
        <v>0.88695569789188755</v>
      </c>
      <c r="G17" s="21">
        <f>VLOOKUP(B17,DEC!$N$5:$O$21,DEC!$O$4,FALSE)</f>
        <v>0.59155488249560984</v>
      </c>
      <c r="H17" s="21">
        <f>VLOOKUP(B17,DEC!$B$5:$D$20,DEC!$C$4,FALSE)</f>
        <v>1</v>
      </c>
      <c r="I17" s="23" t="s">
        <v>24</v>
      </c>
      <c r="J17" s="21">
        <v>1</v>
      </c>
      <c r="K17" s="21">
        <f>VLOOKUP(B17,DEC!$G$25:$K$58,DEC!$K$24,FALSE)</f>
        <v>0.53229230769230773</v>
      </c>
      <c r="L17" s="21">
        <f>VLOOKUP(B17,DEC!$G$25:$M$58,DEC!$M$24,FALSE)</f>
        <v>0.53398569815581476</v>
      </c>
      <c r="M17" s="21">
        <f>VLOOKUP(B17,DEC!$B$25:$E$59,DEC!$E$24,FALSE)</f>
        <v>0.77735849056603779</v>
      </c>
    </row>
    <row r="18" spans="2:16" x14ac:dyDescent="0.25">
      <c r="B18" s="14" t="s">
        <v>78</v>
      </c>
      <c r="C18" s="23" t="s">
        <v>24</v>
      </c>
      <c r="D18" s="23" t="s">
        <v>24</v>
      </c>
      <c r="E18" s="24">
        <v>1</v>
      </c>
      <c r="F18" s="21">
        <f>VLOOKUP(B18,DEC!$O$26:$P$45,DEC!$P$25,FALSE)</f>
        <v>0.60128184667716489</v>
      </c>
      <c r="G18" s="21">
        <f>VLOOKUP(B18,DEC!$N$5:$O$21,DEC!$O$4,FALSE)</f>
        <v>0.70902449248457966</v>
      </c>
      <c r="H18" s="21">
        <f>VLOOKUP(B18,DEC!$B$5:$D$20,DEC!$C$4,FALSE)</f>
        <v>0.86</v>
      </c>
      <c r="I18" s="23" t="s">
        <v>24</v>
      </c>
      <c r="J18" s="21">
        <v>1</v>
      </c>
      <c r="K18" s="21">
        <f>VLOOKUP(B18,DEC!$G$25:$K$58,DEC!$K$24,FALSE)</f>
        <v>0.79874285714285709</v>
      </c>
      <c r="L18" s="21">
        <f>VLOOKUP(B18,DEC!$G$25:$M$58,DEC!$M$24,FALSE)</f>
        <v>0.83491278670512292</v>
      </c>
      <c r="M18" s="21">
        <f>VLOOKUP(B18,DEC!$B$25:$E$59,DEC!$E$24,FALSE)</f>
        <v>0.77272727272727271</v>
      </c>
    </row>
    <row r="21" spans="2:16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6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  <c r="P22" s="1"/>
    </row>
    <row r="23" spans="2:16" x14ac:dyDescent="0.25">
      <c r="B23" s="14" t="s">
        <v>14</v>
      </c>
      <c r="C23" s="21">
        <v>7.4999999999999997E-2</v>
      </c>
      <c r="D23" s="21">
        <v>7.4999999999999997E-2</v>
      </c>
      <c r="E23" s="27" t="s">
        <v>24</v>
      </c>
      <c r="F23" s="27">
        <v>0.05</v>
      </c>
      <c r="G23" s="27">
        <v>0.05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  <c r="P23" s="1"/>
    </row>
    <row r="24" spans="2:16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  <c r="P24" s="1"/>
    </row>
    <row r="25" spans="2:16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  <c r="P25" s="1"/>
    </row>
    <row r="26" spans="2:16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  <c r="P26" s="1"/>
    </row>
    <row r="27" spans="2:16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  <c r="P27" s="1"/>
    </row>
    <row r="28" spans="2:16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  <c r="P28" s="1"/>
    </row>
    <row r="29" spans="2:16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  <c r="P29" s="1"/>
    </row>
    <row r="30" spans="2:16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  <c r="P30" s="1"/>
    </row>
    <row r="31" spans="2:16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  <c r="P31" s="1"/>
    </row>
    <row r="32" spans="2:16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  <c r="P32" s="1"/>
    </row>
    <row r="33" spans="2:16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  <c r="P33" s="1"/>
    </row>
    <row r="34" spans="2:16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  <c r="P34" s="1"/>
    </row>
    <row r="35" spans="2:16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  <c r="P35" s="1"/>
    </row>
    <row r="36" spans="2:16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  <c r="P36" s="1"/>
    </row>
    <row r="38" spans="2:16" x14ac:dyDescent="0.25">
      <c r="B38">
        <v>1</v>
      </c>
      <c r="C38" s="288">
        <v>2</v>
      </c>
      <c r="D38" s="288">
        <v>3</v>
      </c>
      <c r="E38">
        <v>4</v>
      </c>
      <c r="F38" s="288">
        <v>5</v>
      </c>
      <c r="G38" s="288">
        <v>6</v>
      </c>
      <c r="H38">
        <v>7</v>
      </c>
      <c r="I38" s="288">
        <v>8</v>
      </c>
      <c r="J38" s="288">
        <v>9</v>
      </c>
      <c r="K38">
        <v>10</v>
      </c>
      <c r="L38" s="288">
        <v>11</v>
      </c>
      <c r="M38" s="288">
        <v>12</v>
      </c>
      <c r="N38">
        <v>13</v>
      </c>
    </row>
    <row r="39" spans="2:16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6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3.4499999999999996E-2</v>
      </c>
      <c r="F40" s="21">
        <f t="shared" si="1"/>
        <v>3.7916469661150518E-2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0.2</v>
      </c>
      <c r="L40" s="21">
        <f t="shared" si="1"/>
        <v>0.1</v>
      </c>
      <c r="M40" s="21">
        <f t="shared" si="1"/>
        <v>0.3</v>
      </c>
      <c r="N40" s="24">
        <f>SUM(C40:M40)</f>
        <v>0.98241646966115059</v>
      </c>
      <c r="P40" s="285"/>
    </row>
    <row r="41" spans="2:16" x14ac:dyDescent="0.25">
      <c r="B41" s="14" t="s">
        <v>14</v>
      </c>
      <c r="C41" s="21">
        <f t="shared" ref="C41:M54" si="2">IF(C5&gt;=100%,C23,(C5*C23)/100%)</f>
        <v>7.4999999999999997E-2</v>
      </c>
      <c r="D41" s="21">
        <f t="shared" si="2"/>
        <v>7.4999999999999997E-2</v>
      </c>
      <c r="E41" s="21" t="s">
        <v>24</v>
      </c>
      <c r="F41" s="21">
        <f t="shared" si="2"/>
        <v>0.05</v>
      </c>
      <c r="G41" s="21">
        <f t="shared" si="2"/>
        <v>0.05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0.15872844694276023</v>
      </c>
      <c r="L41" s="21">
        <f t="shared" si="2"/>
        <v>0.1</v>
      </c>
      <c r="M41" s="21">
        <f t="shared" si="2"/>
        <v>0.28026533996683251</v>
      </c>
      <c r="N41" s="24">
        <f t="shared" ref="N41:N54" si="3">SUM(C41:M41)</f>
        <v>0.93899378690959279</v>
      </c>
      <c r="P41" s="285"/>
    </row>
    <row r="42" spans="2:16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3.7500000000000006E-2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0.28522471910112357</v>
      </c>
      <c r="N42" s="24">
        <f t="shared" si="3"/>
        <v>0.97272471910112357</v>
      </c>
      <c r="P42" s="285"/>
    </row>
    <row r="43" spans="2:16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3.9624485596707823E-2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0.18734966847375542</v>
      </c>
      <c r="L43" s="21">
        <f t="shared" si="2"/>
        <v>0.1</v>
      </c>
      <c r="M43" s="21">
        <f t="shared" si="2"/>
        <v>0.3</v>
      </c>
      <c r="N43" s="24">
        <f t="shared" si="3"/>
        <v>0.98697415407046329</v>
      </c>
      <c r="P43" s="285"/>
    </row>
    <row r="44" spans="2:16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3.4999999999999996E-2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0.168487933760046</v>
      </c>
      <c r="L44" s="21">
        <f t="shared" si="2"/>
        <v>0.1</v>
      </c>
      <c r="M44" s="21">
        <f t="shared" si="2"/>
        <v>0.26256652868125369</v>
      </c>
      <c r="N44" s="24">
        <f t="shared" si="3"/>
        <v>0.91605446244129962</v>
      </c>
      <c r="P44" s="285"/>
    </row>
    <row r="45" spans="2:16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</v>
      </c>
      <c r="F45" s="21">
        <f t="shared" si="2"/>
        <v>3.9420851338598316E-2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0.19199333333333335</v>
      </c>
      <c r="L45" s="21">
        <f t="shared" si="2"/>
        <v>0.1</v>
      </c>
      <c r="M45" s="21">
        <f t="shared" si="2"/>
        <v>0.21460122699386502</v>
      </c>
      <c r="N45" s="24">
        <f t="shared" si="3"/>
        <v>0.85601541166579653</v>
      </c>
      <c r="P45" s="285"/>
    </row>
    <row r="46" spans="2:16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2.0000000000000004E-2</v>
      </c>
      <c r="F46" s="21">
        <f t="shared" si="2"/>
        <v>0.04</v>
      </c>
      <c r="G46" s="21">
        <f t="shared" si="2"/>
        <v>3.9237247458218806E-2</v>
      </c>
      <c r="H46" s="21">
        <f t="shared" si="2"/>
        <v>4.3000000000000003E-2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9.4117647058823528E-2</v>
      </c>
      <c r="M46" s="21">
        <f t="shared" si="2"/>
        <v>0.25923460898502493</v>
      </c>
      <c r="N46" s="24">
        <f t="shared" si="3"/>
        <v>0.91558950350206725</v>
      </c>
      <c r="P46" s="285"/>
    </row>
    <row r="47" spans="2:16" x14ac:dyDescent="0.25">
      <c r="B47" s="14" t="s">
        <v>20</v>
      </c>
      <c r="C47" s="21">
        <f t="shared" si="2"/>
        <v>5.7771428571428578E-2</v>
      </c>
      <c r="D47" s="21">
        <f t="shared" si="2"/>
        <v>0.06</v>
      </c>
      <c r="E47" s="21">
        <f t="shared" si="2"/>
        <v>2.0000000000000004E-2</v>
      </c>
      <c r="F47" s="21">
        <f t="shared" si="2"/>
        <v>0.04</v>
      </c>
      <c r="G47" s="21">
        <f t="shared" si="2"/>
        <v>3.7802717070289413E-2</v>
      </c>
      <c r="H47" s="21">
        <f t="shared" si="2"/>
        <v>4.3000000000000003E-2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0.29341164453524005</v>
      </c>
      <c r="N47" s="24">
        <f t="shared" si="3"/>
        <v>0.95198579017695806</v>
      </c>
      <c r="P47" s="285"/>
    </row>
    <row r="48" spans="2:16" x14ac:dyDescent="0.25">
      <c r="B48" s="14" t="s">
        <v>21</v>
      </c>
      <c r="C48" s="21">
        <f t="shared" si="2"/>
        <v>5.2457142857142855E-2</v>
      </c>
      <c r="D48" s="21">
        <f t="shared" si="2"/>
        <v>0.06</v>
      </c>
      <c r="E48" s="21">
        <f t="shared" si="2"/>
        <v>4.7500000000000001E-2</v>
      </c>
      <c r="F48" s="21">
        <f t="shared" si="2"/>
        <v>3.8738049713193112E-2</v>
      </c>
      <c r="G48" s="21">
        <f t="shared" si="2"/>
        <v>3.3771523791890398E-2</v>
      </c>
      <c r="H48" s="21">
        <f t="shared" si="2"/>
        <v>4.3000000000000003E-2</v>
      </c>
      <c r="I48" s="21">
        <f t="shared" si="2"/>
        <v>0.03</v>
      </c>
      <c r="J48" s="21">
        <f t="shared" si="2"/>
        <v>7.0000000000000007E-2</v>
      </c>
      <c r="K48" s="21">
        <f t="shared" si="2"/>
        <v>0.19543613642814975</v>
      </c>
      <c r="L48" s="21">
        <f t="shared" si="2"/>
        <v>0.1</v>
      </c>
      <c r="M48" s="21">
        <f t="shared" si="2"/>
        <v>0.26109422492401213</v>
      </c>
      <c r="N48" s="24">
        <f t="shared" si="3"/>
        <v>0.93199707771438822</v>
      </c>
      <c r="P48" s="285"/>
    </row>
    <row r="49" spans="2:16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4.2500000000000003E-2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0.17490712</v>
      </c>
      <c r="L49" s="21">
        <f t="shared" si="2"/>
        <v>9.4557823129251706E-2</v>
      </c>
      <c r="M49" s="21">
        <f t="shared" si="2"/>
        <v>0.21836506159014557</v>
      </c>
      <c r="N49" s="24">
        <f t="shared" si="3"/>
        <v>0.88033000471939737</v>
      </c>
      <c r="P49" s="285"/>
    </row>
    <row r="50" spans="2:16" x14ac:dyDescent="0.25">
      <c r="B50" s="14" t="s">
        <v>23</v>
      </c>
      <c r="C50" s="21">
        <f t="shared" si="2"/>
        <v>5.9279999999999999E-2</v>
      </c>
      <c r="D50" s="21">
        <f t="shared" si="2"/>
        <v>0.06</v>
      </c>
      <c r="E50" s="21">
        <f t="shared" si="2"/>
        <v>0.03</v>
      </c>
      <c r="F50" s="21">
        <f t="shared" si="2"/>
        <v>0.04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0.26848664688427298</v>
      </c>
      <c r="N50" s="24">
        <f t="shared" si="3"/>
        <v>0.94632779796340971</v>
      </c>
      <c r="P50" s="285"/>
    </row>
    <row r="51" spans="2:16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4.2500000000000003E-2</v>
      </c>
      <c r="F51" s="21">
        <f t="shared" si="2"/>
        <v>3.9323671497584541E-2</v>
      </c>
      <c r="G51" s="21">
        <f t="shared" si="2"/>
        <v>0.04</v>
      </c>
      <c r="H51" s="21">
        <f t="shared" si="2"/>
        <v>4.3000000000000003E-2</v>
      </c>
      <c r="I51" s="21" t="s">
        <v>24</v>
      </c>
      <c r="J51" s="21">
        <f t="shared" si="2"/>
        <v>0.1</v>
      </c>
      <c r="K51" s="21">
        <f t="shared" si="2"/>
        <v>0.15717710509386837</v>
      </c>
      <c r="L51" s="21">
        <f t="shared" si="2"/>
        <v>0.1</v>
      </c>
      <c r="M51" s="21">
        <f t="shared" si="2"/>
        <v>0.25318642048838591</v>
      </c>
      <c r="N51" s="24">
        <f t="shared" si="3"/>
        <v>0.89518719707983885</v>
      </c>
      <c r="P51" s="285"/>
    </row>
    <row r="52" spans="2:16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3.2500000000000001E-2</v>
      </c>
      <c r="F52" s="21">
        <f t="shared" si="2"/>
        <v>0.04</v>
      </c>
      <c r="G52" s="21">
        <f t="shared" si="2"/>
        <v>3.7436851901090126E-2</v>
      </c>
      <c r="H52" s="21">
        <f t="shared" si="2"/>
        <v>4.3000000000000003E-2</v>
      </c>
      <c r="I52" s="21" t="s">
        <v>24</v>
      </c>
      <c r="J52" s="21">
        <f t="shared" si="2"/>
        <v>0.1</v>
      </c>
      <c r="K52" s="21">
        <f t="shared" si="2"/>
        <v>0.14055269906799275</v>
      </c>
      <c r="L52" s="21">
        <f t="shared" si="2"/>
        <v>9.418604651162793E-2</v>
      </c>
      <c r="M52" s="21">
        <f t="shared" si="2"/>
        <v>0.29307411907654918</v>
      </c>
      <c r="N52" s="24">
        <f t="shared" si="3"/>
        <v>0.90074971655725999</v>
      </c>
      <c r="P52" s="285"/>
    </row>
    <row r="53" spans="2:16" x14ac:dyDescent="0.25">
      <c r="B53" s="14" t="s">
        <v>27</v>
      </c>
      <c r="C53" s="21">
        <f t="shared" si="2"/>
        <v>4.8085714285714294E-2</v>
      </c>
      <c r="D53" s="21">
        <f t="shared" si="2"/>
        <v>0.06</v>
      </c>
      <c r="E53" s="21">
        <f t="shared" si="2"/>
        <v>4.5000000000000005E-2</v>
      </c>
      <c r="F53" s="21">
        <f t="shared" si="2"/>
        <v>3.5478227915675502E-2</v>
      </c>
      <c r="G53" s="21">
        <f t="shared" si="2"/>
        <v>2.3662195299824395E-2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0.10645846153846156</v>
      </c>
      <c r="L53" s="21">
        <f t="shared" si="2"/>
        <v>5.3398569815581477E-2</v>
      </c>
      <c r="M53" s="21">
        <f t="shared" si="2"/>
        <v>0.23320754716981132</v>
      </c>
      <c r="N53" s="24">
        <f t="shared" si="3"/>
        <v>0.75529071602506859</v>
      </c>
      <c r="P53" s="285"/>
    </row>
    <row r="54" spans="2:16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3.0064092333858247E-2</v>
      </c>
      <c r="G54" s="21">
        <f t="shared" si="2"/>
        <v>3.5451224624228984E-2</v>
      </c>
      <c r="H54" s="21">
        <f t="shared" si="2"/>
        <v>4.3000000000000003E-2</v>
      </c>
      <c r="I54" s="158" t="s">
        <v>24</v>
      </c>
      <c r="J54" s="21">
        <f t="shared" si="2"/>
        <v>0.1</v>
      </c>
      <c r="K54" s="21">
        <f t="shared" si="2"/>
        <v>0.19968571428571427</v>
      </c>
      <c r="L54" s="21">
        <f t="shared" si="2"/>
        <v>8.3491278670512301E-2</v>
      </c>
      <c r="M54" s="21">
        <f t="shared" si="2"/>
        <v>0.27045454545454545</v>
      </c>
      <c r="N54" s="24">
        <f t="shared" si="3"/>
        <v>0.81214685536885933</v>
      </c>
      <c r="P54" s="285"/>
    </row>
    <row r="58" spans="2:16" x14ac:dyDescent="0.25">
      <c r="B58" s="28" t="s">
        <v>1</v>
      </c>
      <c r="C58" s="28" t="s">
        <v>32</v>
      </c>
      <c r="D58" s="28" t="s">
        <v>275</v>
      </c>
      <c r="E58" s="28" t="s">
        <v>142</v>
      </c>
    </row>
    <row r="59" spans="2:16" x14ac:dyDescent="0.25">
      <c r="B59" s="23" t="s">
        <v>13</v>
      </c>
      <c r="C59" s="16">
        <v>0.98980082279753345</v>
      </c>
      <c r="D59" s="17">
        <f>VLOOKUP(B59,$B$39:$N$54,$N$38,FALSE)</f>
        <v>0.98241646966115059</v>
      </c>
      <c r="E59" s="16">
        <v>0.29561934765487086</v>
      </c>
    </row>
    <row r="60" spans="2:16" x14ac:dyDescent="0.25">
      <c r="B60" s="23" t="s">
        <v>15</v>
      </c>
      <c r="C60" s="16">
        <v>1</v>
      </c>
      <c r="D60" s="17">
        <f t="shared" ref="D60:D73" si="4">VLOOKUP(B60,$B$39:$N$54,$N$38,FALSE)</f>
        <v>0.97272471910112357</v>
      </c>
      <c r="E60" s="16">
        <v>0.13788327313218002</v>
      </c>
    </row>
    <row r="61" spans="2:16" x14ac:dyDescent="0.25">
      <c r="B61" s="23" t="s">
        <v>16</v>
      </c>
      <c r="C61" s="16">
        <v>0.96686117474328959</v>
      </c>
      <c r="D61" s="17">
        <f t="shared" si="4"/>
        <v>0.98697415407046329</v>
      </c>
      <c r="E61" s="16">
        <v>3.517014747019364E-2</v>
      </c>
    </row>
    <row r="62" spans="2:16" x14ac:dyDescent="0.25">
      <c r="B62" s="23" t="s">
        <v>17</v>
      </c>
      <c r="C62" s="16">
        <v>0.91</v>
      </c>
      <c r="D62" s="17">
        <f t="shared" si="4"/>
        <v>0.91605446244129962</v>
      </c>
      <c r="E62" s="16">
        <v>4.0194454251649872E-2</v>
      </c>
    </row>
    <row r="63" spans="2:16" x14ac:dyDescent="0.25">
      <c r="B63" s="23" t="s">
        <v>18</v>
      </c>
      <c r="C63" s="16">
        <v>0.93110470401828627</v>
      </c>
      <c r="D63" s="17">
        <f t="shared" si="4"/>
        <v>0.85601541166579653</v>
      </c>
      <c r="E63" s="16">
        <v>3.1666711930691725E-2</v>
      </c>
    </row>
    <row r="64" spans="2:16" x14ac:dyDescent="0.25">
      <c r="B64" s="23" t="s">
        <v>19</v>
      </c>
      <c r="C64" s="16">
        <v>0.97207402616838423</v>
      </c>
      <c r="D64" s="17">
        <f t="shared" si="4"/>
        <v>0.91558950350206725</v>
      </c>
      <c r="E64" s="16">
        <v>4.2312810624371963E-2</v>
      </c>
    </row>
    <row r="65" spans="2:5" x14ac:dyDescent="0.25">
      <c r="B65" s="23" t="s">
        <v>20</v>
      </c>
      <c r="C65" s="16">
        <v>0.97973452294246177</v>
      </c>
      <c r="D65" s="17">
        <f t="shared" si="4"/>
        <v>0.95198579017695806</v>
      </c>
      <c r="E65" s="16">
        <v>5.2008364791830748E-2</v>
      </c>
    </row>
    <row r="66" spans="2:5" x14ac:dyDescent="0.25">
      <c r="B66" s="23" t="s">
        <v>21</v>
      </c>
      <c r="C66" s="16">
        <v>0.93991571983947841</v>
      </c>
      <c r="D66" s="17">
        <f t="shared" si="4"/>
        <v>0.93199707771438822</v>
      </c>
      <c r="E66" s="16">
        <v>2.3329078514977866E-2</v>
      </c>
    </row>
    <row r="67" spans="2:5" x14ac:dyDescent="0.25">
      <c r="B67" s="23" t="s">
        <v>22</v>
      </c>
      <c r="C67" s="16">
        <v>0.94524218314862185</v>
      </c>
      <c r="D67" s="17">
        <f t="shared" si="4"/>
        <v>0.88033000471939737</v>
      </c>
      <c r="E67" s="16">
        <v>3.5305939545368134E-2</v>
      </c>
    </row>
    <row r="68" spans="2:5" x14ac:dyDescent="0.25">
      <c r="B68" s="23" t="s">
        <v>23</v>
      </c>
      <c r="C68" s="16">
        <v>0.91500000000000004</v>
      </c>
      <c r="D68" s="17">
        <f t="shared" si="4"/>
        <v>0.94632779796340971</v>
      </c>
      <c r="E68" s="16">
        <v>4.0954889872627034E-2</v>
      </c>
    </row>
    <row r="69" spans="2:5" x14ac:dyDescent="0.25">
      <c r="B69" s="23" t="s">
        <v>25</v>
      </c>
      <c r="C69" s="16">
        <v>0.99989690721649493</v>
      </c>
      <c r="D69" s="17">
        <f t="shared" si="4"/>
        <v>0.89518719707983885</v>
      </c>
      <c r="E69" s="16">
        <v>3.8483474104451264E-2</v>
      </c>
    </row>
    <row r="70" spans="2:5" x14ac:dyDescent="0.25">
      <c r="B70" s="23" t="s">
        <v>26</v>
      </c>
      <c r="C70" s="16">
        <v>0.9</v>
      </c>
      <c r="D70" s="17">
        <f t="shared" si="4"/>
        <v>0.90074971655725999</v>
      </c>
      <c r="E70" s="16">
        <v>2.1835365688058446E-2</v>
      </c>
    </row>
    <row r="71" spans="2:5" x14ac:dyDescent="0.25">
      <c r="B71" s="23" t="s">
        <v>33</v>
      </c>
      <c r="C71" s="16">
        <v>0.63392386477602281</v>
      </c>
      <c r="D71" s="17">
        <f t="shared" si="4"/>
        <v>0.75529071602506859</v>
      </c>
      <c r="E71" s="16">
        <v>2.797316748594552E-2</v>
      </c>
    </row>
    <row r="72" spans="2:5" x14ac:dyDescent="0.25">
      <c r="B72" s="23" t="s">
        <v>85</v>
      </c>
      <c r="C72" s="16">
        <v>0.48232272019195277</v>
      </c>
      <c r="D72" s="17">
        <f t="shared" si="4"/>
        <v>0.81214685536885933</v>
      </c>
      <c r="E72" s="16">
        <v>1.1542326389831889E-2</v>
      </c>
    </row>
    <row r="73" spans="2:5" x14ac:dyDescent="0.25">
      <c r="B73" s="23" t="s">
        <v>14</v>
      </c>
      <c r="C73" s="16">
        <v>0.98099999999999998</v>
      </c>
      <c r="D73" s="17">
        <f t="shared" si="4"/>
        <v>0.93899378690959279</v>
      </c>
      <c r="E73" s="16">
        <v>0.13769316422693573</v>
      </c>
    </row>
  </sheetData>
  <conditionalFormatting sqref="N40:N54">
    <cfRule type="cellIs" dxfId="25" priority="1" operator="lessThan">
      <formula>0.9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dimension ref="C4:AE74"/>
  <sheetViews>
    <sheetView showGridLines="0" topLeftCell="A50" zoomScale="94" workbookViewId="0">
      <selection activeCell="K79" sqref="K79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7109375" style="11" customWidth="1"/>
    <col min="18" max="19" width="8.7109375" style="11" customWidth="1"/>
    <col min="20" max="21" width="8.7109375" style="11"/>
    <col min="22" max="22" width="9.42578125" style="11" customWidth="1"/>
    <col min="23" max="24" width="14.7109375" style="11" customWidth="1"/>
    <col min="25" max="26" width="13.42578125" style="11" customWidth="1"/>
    <col min="27" max="27" width="11.7109375" style="11" customWidth="1"/>
    <col min="28" max="28" width="11.28515625" style="11" customWidth="1"/>
    <col min="29" max="30" width="12.42578125" style="11" customWidth="1"/>
    <col min="31" max="31" width="14" style="11" customWidth="1"/>
    <col min="32" max="16384" width="8.7109375" style="11"/>
  </cols>
  <sheetData>
    <row r="4" spans="4:31" x14ac:dyDescent="0.25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194</v>
      </c>
      <c r="R4"/>
      <c r="S4" s="252" t="s">
        <v>1</v>
      </c>
      <c r="T4" s="252" t="s">
        <v>2</v>
      </c>
      <c r="U4" s="252" t="s">
        <v>3</v>
      </c>
      <c r="V4" s="252" t="s">
        <v>4</v>
      </c>
      <c r="W4" s="252" t="s">
        <v>5</v>
      </c>
      <c r="X4" s="252" t="s">
        <v>6</v>
      </c>
      <c r="Y4" s="252" t="s">
        <v>7</v>
      </c>
      <c r="Z4" s="252" t="s">
        <v>8</v>
      </c>
      <c r="AA4" s="252" t="s">
        <v>9</v>
      </c>
      <c r="AB4" s="252" t="s">
        <v>10</v>
      </c>
      <c r="AC4" s="252" t="s">
        <v>11</v>
      </c>
      <c r="AD4" s="252" t="s">
        <v>12</v>
      </c>
      <c r="AE4" s="252" t="s">
        <v>194</v>
      </c>
    </row>
    <row r="5" spans="4:31" x14ac:dyDescent="0.25">
      <c r="D5" s="11" t="s">
        <v>15</v>
      </c>
      <c r="E5" s="199">
        <v>1.0380434782608694</v>
      </c>
      <c r="F5" s="199">
        <v>1.0152173913043478</v>
      </c>
      <c r="G5" s="199">
        <v>1</v>
      </c>
      <c r="H5" s="199">
        <v>1.1047092270853816</v>
      </c>
      <c r="I5" s="199">
        <v>1.3499192859177662</v>
      </c>
      <c r="J5" s="199">
        <v>1</v>
      </c>
      <c r="K5" s="199">
        <v>1</v>
      </c>
      <c r="L5" s="199">
        <v>1</v>
      </c>
      <c r="M5" s="199">
        <v>1.1096466369769731</v>
      </c>
      <c r="N5" s="199">
        <v>1.0075757575757576</v>
      </c>
      <c r="O5" s="199">
        <v>1.0218516388729155</v>
      </c>
      <c r="P5" s="199">
        <v>1</v>
      </c>
      <c r="R5">
        <v>1</v>
      </c>
      <c r="S5" s="252" t="s">
        <v>15</v>
      </c>
      <c r="T5" s="256">
        <v>1.0380434782608694</v>
      </c>
      <c r="U5" s="256">
        <v>1.0152173913043478</v>
      </c>
      <c r="V5" s="256">
        <v>1</v>
      </c>
      <c r="W5" s="256">
        <v>1.1047092270853816</v>
      </c>
      <c r="X5" s="256">
        <v>1.3499192859177662</v>
      </c>
      <c r="Y5" s="256">
        <v>1</v>
      </c>
      <c r="Z5" s="256">
        <v>1</v>
      </c>
      <c r="AA5" s="256">
        <v>1</v>
      </c>
      <c r="AB5" s="256">
        <v>1.1096466369769731</v>
      </c>
      <c r="AC5" s="256">
        <v>1.0075757575757576</v>
      </c>
      <c r="AD5" s="256">
        <v>1.0218516388729155</v>
      </c>
      <c r="AE5" s="199">
        <v>1</v>
      </c>
    </row>
    <row r="6" spans="4:31" x14ac:dyDescent="0.25">
      <c r="D6" s="11" t="s">
        <v>13</v>
      </c>
      <c r="E6" s="199">
        <v>1.0102564102564102</v>
      </c>
      <c r="F6" s="199">
        <v>1.0391304347826087</v>
      </c>
      <c r="G6" s="199">
        <v>1</v>
      </c>
      <c r="H6" s="199">
        <v>0.95243015506856332</v>
      </c>
      <c r="I6" s="199">
        <v>1.0952234605244009</v>
      </c>
      <c r="J6" s="199">
        <v>1</v>
      </c>
      <c r="K6" s="199">
        <v>1</v>
      </c>
      <c r="L6" s="199">
        <v>1</v>
      </c>
      <c r="M6" s="199">
        <v>0.98775748805322705</v>
      </c>
      <c r="N6" s="199">
        <v>1.04</v>
      </c>
      <c r="O6" s="199">
        <v>1.1050603217158177</v>
      </c>
      <c r="P6" s="199">
        <v>0.99564870381338788</v>
      </c>
      <c r="R6">
        <v>2</v>
      </c>
      <c r="S6" s="252" t="s">
        <v>13</v>
      </c>
      <c r="T6" s="256">
        <v>1.0102564102564102</v>
      </c>
      <c r="U6" s="256">
        <v>1.0391304347826087</v>
      </c>
      <c r="V6" s="256">
        <v>1</v>
      </c>
      <c r="W6" s="256">
        <v>0.95243015506856332</v>
      </c>
      <c r="X6" s="256">
        <v>1.0952234605244009</v>
      </c>
      <c r="Y6" s="256">
        <v>1</v>
      </c>
      <c r="Z6" s="256">
        <v>1</v>
      </c>
      <c r="AA6" s="256">
        <v>1</v>
      </c>
      <c r="AB6" s="256">
        <v>0.98775748805322705</v>
      </c>
      <c r="AC6" s="256">
        <v>1.04</v>
      </c>
      <c r="AD6" s="256">
        <v>1.1050603217158177</v>
      </c>
      <c r="AE6" s="199">
        <v>0.99564870381338788</v>
      </c>
    </row>
    <row r="7" spans="4:31" x14ac:dyDescent="0.25">
      <c r="D7" s="11" t="s">
        <v>16</v>
      </c>
      <c r="E7" s="199">
        <v>1.0270588235294118</v>
      </c>
      <c r="F7" s="199">
        <v>1.0361702127659576</v>
      </c>
      <c r="G7" s="199">
        <v>1</v>
      </c>
      <c r="H7" s="199">
        <v>1.0382114210845874</v>
      </c>
      <c r="I7" s="199">
        <v>1.7591623036649218</v>
      </c>
      <c r="J7" s="199">
        <v>1</v>
      </c>
      <c r="K7" s="199">
        <v>1</v>
      </c>
      <c r="L7" s="199">
        <v>1</v>
      </c>
      <c r="M7" s="199">
        <v>0.96795597155716073</v>
      </c>
      <c r="N7" s="199">
        <v>1.0097087378640777</v>
      </c>
      <c r="O7" s="199">
        <v>1.0222513089005236</v>
      </c>
      <c r="P7" s="199">
        <v>0.99359119431143217</v>
      </c>
      <c r="R7">
        <v>3</v>
      </c>
      <c r="S7" s="252" t="s">
        <v>16</v>
      </c>
      <c r="T7" s="256">
        <v>1.0270588235294118</v>
      </c>
      <c r="U7" s="256">
        <v>1.0361702127659576</v>
      </c>
      <c r="V7" s="256">
        <v>1</v>
      </c>
      <c r="W7" s="256">
        <v>1.0382114210845874</v>
      </c>
      <c r="X7" s="256">
        <v>1.7591623036649218</v>
      </c>
      <c r="Y7" s="256">
        <v>1</v>
      </c>
      <c r="Z7" s="256">
        <v>1</v>
      </c>
      <c r="AA7" s="256">
        <v>1</v>
      </c>
      <c r="AB7" s="256">
        <v>0.96795597155716073</v>
      </c>
      <c r="AC7" s="256">
        <v>1.0097087378640777</v>
      </c>
      <c r="AD7" s="256">
        <v>1.0222513089005236</v>
      </c>
      <c r="AE7" s="199">
        <v>0.99359119431143217</v>
      </c>
    </row>
    <row r="8" spans="4:31" x14ac:dyDescent="0.25">
      <c r="D8" s="11" t="s">
        <v>20</v>
      </c>
      <c r="E8" s="199">
        <v>0.94000000000000006</v>
      </c>
      <c r="F8" s="199">
        <v>1.1987951807228916</v>
      </c>
      <c r="G8" s="199">
        <v>1</v>
      </c>
      <c r="H8" s="199">
        <v>1.0959733575537389</v>
      </c>
      <c r="I8" s="199">
        <v>0.93652907234798022</v>
      </c>
      <c r="J8" s="199">
        <v>1</v>
      </c>
      <c r="K8" s="199">
        <v>1</v>
      </c>
      <c r="L8" s="199">
        <v>1</v>
      </c>
      <c r="M8" s="199">
        <v>1.1157649231625402</v>
      </c>
      <c r="N8" s="199">
        <v>1.0084745762711864</v>
      </c>
      <c r="O8" s="199">
        <v>0.96417445482866049</v>
      </c>
      <c r="P8" s="199">
        <v>0.98311349934251735</v>
      </c>
      <c r="R8">
        <v>4</v>
      </c>
      <c r="S8" s="252" t="s">
        <v>20</v>
      </c>
      <c r="T8" s="256">
        <v>0.94000000000000006</v>
      </c>
      <c r="U8" s="256">
        <v>1.1987951807228916</v>
      </c>
      <c r="V8" s="256">
        <v>1</v>
      </c>
      <c r="W8" s="256">
        <v>1.0959733575537389</v>
      </c>
      <c r="X8" s="256">
        <v>0.93652907234798022</v>
      </c>
      <c r="Y8" s="256">
        <v>1</v>
      </c>
      <c r="Z8" s="256">
        <v>1</v>
      </c>
      <c r="AA8" s="256">
        <v>1</v>
      </c>
      <c r="AB8" s="256">
        <v>1.1157649231625402</v>
      </c>
      <c r="AC8" s="256">
        <v>1.0084745762711864</v>
      </c>
      <c r="AD8" s="256">
        <v>0.96417445482866049</v>
      </c>
      <c r="AE8" s="199">
        <v>0.98311349934251735</v>
      </c>
    </row>
    <row r="9" spans="4:31" x14ac:dyDescent="0.25">
      <c r="D9" s="11" t="s">
        <v>23</v>
      </c>
      <c r="E9" s="199">
        <v>1.0133333333333334</v>
      </c>
      <c r="F9" s="199">
        <v>1.0626506024096387</v>
      </c>
      <c r="G9" s="199">
        <v>1</v>
      </c>
      <c r="H9" s="199">
        <v>0.96594982078853042</v>
      </c>
      <c r="I9" s="199">
        <v>1.0182194081922726</v>
      </c>
      <c r="J9" s="199">
        <v>1</v>
      </c>
      <c r="K9" s="199" t="s">
        <v>183</v>
      </c>
      <c r="L9" s="199">
        <v>1</v>
      </c>
      <c r="M9" s="199">
        <v>1.2028302115977942</v>
      </c>
      <c r="N9" s="199">
        <v>0.98561151079136711</v>
      </c>
      <c r="O9" s="199">
        <v>0.9027522935779817</v>
      </c>
      <c r="P9" s="199">
        <v>0.96802483198407252</v>
      </c>
      <c r="R9">
        <v>5</v>
      </c>
      <c r="S9" s="252" t="s">
        <v>23</v>
      </c>
      <c r="T9" s="256">
        <v>1.0133333333333334</v>
      </c>
      <c r="U9" s="256">
        <v>1.0626506024096387</v>
      </c>
      <c r="V9" s="256">
        <v>1</v>
      </c>
      <c r="W9" s="256">
        <v>0.96594982078853042</v>
      </c>
      <c r="X9" s="256">
        <v>1.0182194081922726</v>
      </c>
      <c r="Y9" s="256">
        <v>1</v>
      </c>
      <c r="Z9" s="256" t="s">
        <v>183</v>
      </c>
      <c r="AA9" s="256">
        <v>1</v>
      </c>
      <c r="AB9" s="256">
        <v>1.2028302115977942</v>
      </c>
      <c r="AC9" s="256">
        <v>0.98561151079136711</v>
      </c>
      <c r="AD9" s="256">
        <v>0.9027522935779817</v>
      </c>
      <c r="AE9" s="199">
        <v>0.96802483198407252</v>
      </c>
    </row>
    <row r="10" spans="4:31" x14ac:dyDescent="0.25">
      <c r="D10" s="11" t="s">
        <v>19</v>
      </c>
      <c r="E10" s="199">
        <v>1.0657142857142858</v>
      </c>
      <c r="F10" s="199">
        <v>1.1373493975903615</v>
      </c>
      <c r="G10" s="199">
        <v>1</v>
      </c>
      <c r="H10" s="199">
        <v>1.0679722394008107</v>
      </c>
      <c r="I10" s="199">
        <v>1.0444601270289349</v>
      </c>
      <c r="J10" s="199">
        <v>1</v>
      </c>
      <c r="K10" s="199">
        <v>1</v>
      </c>
      <c r="L10" s="199">
        <v>1</v>
      </c>
      <c r="M10" s="199">
        <v>1.0966270433575429</v>
      </c>
      <c r="N10" s="199">
        <v>0.94</v>
      </c>
      <c r="O10" s="199">
        <v>0.88020833333333337</v>
      </c>
      <c r="P10" s="199">
        <v>0.95806249999999993</v>
      </c>
      <c r="R10">
        <v>6</v>
      </c>
      <c r="S10" s="252" t="s">
        <v>19</v>
      </c>
      <c r="T10" s="256">
        <v>1.0657142857142858</v>
      </c>
      <c r="U10" s="256">
        <v>1.1373493975903615</v>
      </c>
      <c r="V10" s="256">
        <v>1</v>
      </c>
      <c r="W10" s="256">
        <v>1.0679722394008107</v>
      </c>
      <c r="X10" s="256">
        <v>1.0444601270289349</v>
      </c>
      <c r="Y10" s="256">
        <v>1</v>
      </c>
      <c r="Z10" s="256">
        <v>1</v>
      </c>
      <c r="AA10" s="256">
        <v>1</v>
      </c>
      <c r="AB10" s="256">
        <v>1.0966270433575429</v>
      </c>
      <c r="AC10" s="256">
        <v>0.94</v>
      </c>
      <c r="AD10" s="256">
        <v>0.88020833333333337</v>
      </c>
      <c r="AE10" s="199">
        <v>0.95806249999999993</v>
      </c>
    </row>
    <row r="11" spans="4:31" x14ac:dyDescent="0.25">
      <c r="D11" s="11" t="s">
        <v>21</v>
      </c>
      <c r="E11" s="199">
        <v>0.82285714285714284</v>
      </c>
      <c r="F11" s="199">
        <v>1.0879518072289158</v>
      </c>
      <c r="G11" s="199">
        <v>1</v>
      </c>
      <c r="H11" s="199">
        <v>0.95610746641674482</v>
      </c>
      <c r="I11" s="199">
        <v>0.8630079597821535</v>
      </c>
      <c r="J11" s="199">
        <v>1</v>
      </c>
      <c r="K11" s="199">
        <v>1</v>
      </c>
      <c r="L11" s="199">
        <v>1</v>
      </c>
      <c r="M11" s="199">
        <v>1.1609117491571079</v>
      </c>
      <c r="N11" s="199">
        <v>1.173913043478261</v>
      </c>
      <c r="O11" s="199">
        <v>0.90752351097178685</v>
      </c>
      <c r="P11" s="199">
        <v>0.9543930989109205</v>
      </c>
      <c r="R11">
        <v>7</v>
      </c>
      <c r="S11" s="252" t="s">
        <v>21</v>
      </c>
      <c r="T11" s="256">
        <v>0.82285714285714284</v>
      </c>
      <c r="U11" s="256">
        <v>1.0879518072289158</v>
      </c>
      <c r="V11" s="256">
        <v>1</v>
      </c>
      <c r="W11" s="256">
        <v>0.95610746641674482</v>
      </c>
      <c r="X11" s="256">
        <v>0.8630079597821535</v>
      </c>
      <c r="Y11" s="256">
        <v>1</v>
      </c>
      <c r="Z11" s="256">
        <v>1</v>
      </c>
      <c r="AA11" s="256">
        <v>1</v>
      </c>
      <c r="AB11" s="256">
        <v>1.1609117491571079</v>
      </c>
      <c r="AC11" s="256">
        <v>1.173913043478261</v>
      </c>
      <c r="AD11" s="256">
        <v>0.90752351097178685</v>
      </c>
      <c r="AE11" s="199">
        <v>0.9543930989109205</v>
      </c>
    </row>
    <row r="12" spans="4:31" x14ac:dyDescent="0.25">
      <c r="D12" s="11" t="s">
        <v>17</v>
      </c>
      <c r="E12" s="199">
        <v>1.0220930232558141</v>
      </c>
      <c r="F12" s="199">
        <v>1.0888888888888888</v>
      </c>
      <c r="G12" s="199">
        <v>1</v>
      </c>
      <c r="H12" s="199">
        <v>1.0886912904696762</v>
      </c>
      <c r="I12" s="199">
        <v>1.3168086754453909</v>
      </c>
      <c r="J12" s="199">
        <v>1</v>
      </c>
      <c r="K12" s="199">
        <v>1</v>
      </c>
      <c r="L12" s="199">
        <v>1</v>
      </c>
      <c r="M12" s="199">
        <v>0.9543416167882024</v>
      </c>
      <c r="N12" s="199">
        <v>0.98701298701298701</v>
      </c>
      <c r="O12" s="199">
        <v>0.86082949308755763</v>
      </c>
      <c r="P12" s="199">
        <v>0.94781846998520636</v>
      </c>
      <c r="R12">
        <v>8</v>
      </c>
      <c r="S12" s="252" t="s">
        <v>17</v>
      </c>
      <c r="T12" s="256">
        <v>1.0220930232558141</v>
      </c>
      <c r="U12" s="256">
        <v>1.0888888888888888</v>
      </c>
      <c r="V12" s="256">
        <v>1</v>
      </c>
      <c r="W12" s="256">
        <v>1.0886912904696762</v>
      </c>
      <c r="X12" s="256">
        <v>1.3168086754453909</v>
      </c>
      <c r="Y12" s="256">
        <v>1</v>
      </c>
      <c r="Z12" s="256">
        <v>1</v>
      </c>
      <c r="AA12" s="256">
        <v>1</v>
      </c>
      <c r="AB12" s="256">
        <v>0.9543416167882024</v>
      </c>
      <c r="AC12" s="256">
        <v>0.98701298701298701</v>
      </c>
      <c r="AD12" s="256">
        <v>0.86082949308755763</v>
      </c>
      <c r="AE12" s="199">
        <v>0.94781846998520636</v>
      </c>
    </row>
    <row r="13" spans="4:31" x14ac:dyDescent="0.25">
      <c r="D13" s="11" t="s">
        <v>22</v>
      </c>
      <c r="E13" s="199">
        <v>1.0871428571428572</v>
      </c>
      <c r="F13" s="199">
        <v>1.0863636363636364</v>
      </c>
      <c r="G13" s="199">
        <v>1</v>
      </c>
      <c r="H13" s="199">
        <v>1.1111111111111112</v>
      </c>
      <c r="I13" s="199">
        <v>1.0688926229063902</v>
      </c>
      <c r="J13" s="199">
        <v>1</v>
      </c>
      <c r="K13" s="199">
        <v>1</v>
      </c>
      <c r="L13" s="199">
        <v>1</v>
      </c>
      <c r="M13" s="199">
        <v>0.96635559034971086</v>
      </c>
      <c r="N13" s="199">
        <v>0.97959183673469385</v>
      </c>
      <c r="O13" s="199">
        <v>0.849705304518664</v>
      </c>
      <c r="P13" s="199">
        <v>0.94614189309901087</v>
      </c>
      <c r="R13">
        <v>9</v>
      </c>
      <c r="S13" s="252" t="s">
        <v>22</v>
      </c>
      <c r="T13" s="256">
        <v>1.0871428571428572</v>
      </c>
      <c r="U13" s="256">
        <v>1.0863636363636364</v>
      </c>
      <c r="V13" s="256">
        <v>1</v>
      </c>
      <c r="W13" s="256">
        <v>1.1111111111111112</v>
      </c>
      <c r="X13" s="256">
        <v>1.0688926229063902</v>
      </c>
      <c r="Y13" s="256">
        <v>1</v>
      </c>
      <c r="Z13" s="256">
        <v>1</v>
      </c>
      <c r="AA13" s="256">
        <v>1</v>
      </c>
      <c r="AB13" s="256">
        <v>0.96635559034971086</v>
      </c>
      <c r="AC13" s="256">
        <v>0.97959183673469385</v>
      </c>
      <c r="AD13" s="256">
        <v>0.849705304518664</v>
      </c>
      <c r="AE13" s="199">
        <v>0.94614189309901087</v>
      </c>
    </row>
    <row r="14" spans="4:31" x14ac:dyDescent="0.25">
      <c r="D14" s="11" t="s">
        <v>26</v>
      </c>
      <c r="E14" s="199">
        <v>1.0541176470588236</v>
      </c>
      <c r="F14" s="199">
        <v>1.0666666666666667</v>
      </c>
      <c r="G14" s="199">
        <v>1</v>
      </c>
      <c r="H14" s="199">
        <v>1.0687884430901191</v>
      </c>
      <c r="I14" s="199">
        <v>0.92015514243680618</v>
      </c>
      <c r="J14" s="199">
        <v>1</v>
      </c>
      <c r="K14" s="199" t="s">
        <v>183</v>
      </c>
      <c r="L14" s="199">
        <v>1</v>
      </c>
      <c r="M14" s="199">
        <v>0.72591119110016522</v>
      </c>
      <c r="N14" s="199">
        <v>0.94186046511627919</v>
      </c>
      <c r="O14" s="199">
        <v>0.98014440433213001</v>
      </c>
      <c r="P14" s="199">
        <v>0.93021781172877227</v>
      </c>
      <c r="R14">
        <v>10</v>
      </c>
      <c r="S14" s="252" t="s">
        <v>26</v>
      </c>
      <c r="T14" s="256">
        <v>1.0541176470588236</v>
      </c>
      <c r="U14" s="256">
        <v>1.0666666666666667</v>
      </c>
      <c r="V14" s="256">
        <v>1</v>
      </c>
      <c r="W14" s="256">
        <v>1.0687884430901191</v>
      </c>
      <c r="X14" s="256">
        <v>0.92015514243680618</v>
      </c>
      <c r="Y14" s="256">
        <v>1</v>
      </c>
      <c r="Z14" s="256" t="s">
        <v>183</v>
      </c>
      <c r="AA14" s="256">
        <v>1</v>
      </c>
      <c r="AB14" s="256">
        <v>0.72591119110016522</v>
      </c>
      <c r="AC14" s="256">
        <v>0.94186046511627919</v>
      </c>
      <c r="AD14" s="256">
        <v>0.98014440433213001</v>
      </c>
      <c r="AE14" s="199">
        <v>0.93021781172877227</v>
      </c>
    </row>
    <row r="15" spans="4:31" x14ac:dyDescent="0.25">
      <c r="D15" s="11" t="s">
        <v>18</v>
      </c>
      <c r="E15" s="199">
        <v>1.0574468085106383</v>
      </c>
      <c r="F15" s="199">
        <v>1.04</v>
      </c>
      <c r="G15" s="199">
        <v>1</v>
      </c>
      <c r="H15" s="199">
        <v>0.99951652601969054</v>
      </c>
      <c r="I15" s="199">
        <v>1.0605033612978498</v>
      </c>
      <c r="J15" s="199">
        <v>1</v>
      </c>
      <c r="K15" s="199">
        <v>1</v>
      </c>
      <c r="L15" s="199">
        <v>1</v>
      </c>
      <c r="M15" s="199">
        <v>1.0496712276799058</v>
      </c>
      <c r="N15" s="199">
        <v>1</v>
      </c>
      <c r="O15" s="199">
        <v>0.74317492416582409</v>
      </c>
      <c r="P15" s="199">
        <v>0.9229331382905348</v>
      </c>
      <c r="R15">
        <v>11</v>
      </c>
      <c r="S15" s="252" t="s">
        <v>18</v>
      </c>
      <c r="T15" s="256">
        <v>1.0574468085106383</v>
      </c>
      <c r="U15" s="256">
        <v>1.04</v>
      </c>
      <c r="V15" s="256">
        <v>1</v>
      </c>
      <c r="W15" s="256">
        <v>0.99951652601969054</v>
      </c>
      <c r="X15" s="256">
        <v>1.0605033612978498</v>
      </c>
      <c r="Y15" s="256">
        <v>1</v>
      </c>
      <c r="Z15" s="256">
        <v>1</v>
      </c>
      <c r="AA15" s="256">
        <v>1</v>
      </c>
      <c r="AB15" s="256">
        <v>1.0496712276799058</v>
      </c>
      <c r="AC15" s="256">
        <v>1</v>
      </c>
      <c r="AD15" s="256">
        <v>0.74317492416582409</v>
      </c>
      <c r="AE15" s="199">
        <v>0.9229331382905348</v>
      </c>
    </row>
    <row r="16" spans="4:31" x14ac:dyDescent="0.25">
      <c r="D16" s="11" t="s">
        <v>25</v>
      </c>
      <c r="E16" s="199">
        <v>1.0809523809523811</v>
      </c>
      <c r="F16" s="199">
        <v>1.0588888888888888</v>
      </c>
      <c r="G16" s="199">
        <v>1</v>
      </c>
      <c r="H16" s="199">
        <v>0.98309178743961345</v>
      </c>
      <c r="I16" s="199">
        <v>1.1204013377926418</v>
      </c>
      <c r="J16" s="199">
        <v>0.4</v>
      </c>
      <c r="K16" s="199" t="s">
        <v>183</v>
      </c>
      <c r="L16" s="199">
        <v>1</v>
      </c>
      <c r="M16" s="199">
        <v>0.85629801799178928</v>
      </c>
      <c r="N16" s="199">
        <v>1.2283464566929134</v>
      </c>
      <c r="O16" s="199">
        <v>0.85110470701248797</v>
      </c>
      <c r="P16" s="199">
        <v>0.89591468719968881</v>
      </c>
      <c r="R16">
        <v>12</v>
      </c>
      <c r="S16" s="252" t="s">
        <v>14</v>
      </c>
      <c r="T16" s="256">
        <v>1.026829268292683</v>
      </c>
      <c r="U16" s="256">
        <v>1.0109890109890109</v>
      </c>
      <c r="V16" s="256">
        <v>1</v>
      </c>
      <c r="W16" s="256">
        <v>0.92592592592592582</v>
      </c>
      <c r="X16" s="256">
        <v>1.0695402273164061</v>
      </c>
      <c r="Y16" s="256">
        <v>1</v>
      </c>
      <c r="Z16" s="256">
        <v>1</v>
      </c>
      <c r="AA16" s="256">
        <v>1</v>
      </c>
      <c r="AB16" s="256">
        <v>0.75890214819203028</v>
      </c>
      <c r="AC16" s="256">
        <v>1</v>
      </c>
      <c r="AD16" s="256">
        <v>0.8411837237977805</v>
      </c>
      <c r="AE16" s="199">
        <v>0.90117258381477716</v>
      </c>
    </row>
    <row r="17" spans="3:31" x14ac:dyDescent="0.25">
      <c r="D17" s="11" t="s">
        <v>27</v>
      </c>
      <c r="E17" s="199">
        <v>0.76571428571428579</v>
      </c>
      <c r="F17" s="199">
        <v>1.0522727272727272</v>
      </c>
      <c r="G17" s="199">
        <v>1</v>
      </c>
      <c r="H17" s="199">
        <v>0.88695569789188755</v>
      </c>
      <c r="I17" s="199">
        <v>0.75887761572606216</v>
      </c>
      <c r="J17" s="199">
        <v>1</v>
      </c>
      <c r="K17" s="199" t="s">
        <v>183</v>
      </c>
      <c r="L17" s="199">
        <v>1</v>
      </c>
      <c r="M17" s="199">
        <v>1.0255962807359507</v>
      </c>
      <c r="N17" s="199">
        <v>0.79842431063590313</v>
      </c>
      <c r="O17" s="199">
        <v>0.79114642451759365</v>
      </c>
      <c r="P17" s="199">
        <v>0.88896254810644371</v>
      </c>
      <c r="R17">
        <v>13</v>
      </c>
      <c r="S17" s="252" t="s">
        <v>25</v>
      </c>
      <c r="T17" s="256">
        <v>1.0809523809523811</v>
      </c>
      <c r="U17" s="256">
        <v>1.0588888888888888</v>
      </c>
      <c r="V17" s="256">
        <v>1</v>
      </c>
      <c r="W17" s="256">
        <v>0.98309178743961345</v>
      </c>
      <c r="X17" s="256">
        <v>1.1204013377926418</v>
      </c>
      <c r="Y17" s="256">
        <v>0.4</v>
      </c>
      <c r="Z17" s="256" t="s">
        <v>183</v>
      </c>
      <c r="AA17" s="256">
        <v>1</v>
      </c>
      <c r="AB17" s="256">
        <v>0.85629801799178928</v>
      </c>
      <c r="AC17" s="256">
        <v>1.2283464566929134</v>
      </c>
      <c r="AD17" s="256">
        <v>0.85110470701248797</v>
      </c>
      <c r="AE17" s="199">
        <v>0.89591468719968881</v>
      </c>
    </row>
    <row r="18" spans="3:31" x14ac:dyDescent="0.25">
      <c r="D18" s="11" t="s">
        <v>14</v>
      </c>
      <c r="E18" s="199">
        <v>1.026829268292683</v>
      </c>
      <c r="F18" s="199">
        <v>1.0109890109890109</v>
      </c>
      <c r="G18" s="199">
        <v>1</v>
      </c>
      <c r="H18" s="199">
        <v>0</v>
      </c>
      <c r="I18" s="199">
        <v>1.0695402273164061</v>
      </c>
      <c r="J18" s="199">
        <v>1</v>
      </c>
      <c r="K18" s="199">
        <v>1</v>
      </c>
      <c r="L18" s="199">
        <v>1</v>
      </c>
      <c r="M18" s="199">
        <v>0.75890214819203028</v>
      </c>
      <c r="N18" s="199">
        <v>1</v>
      </c>
      <c r="O18" s="199">
        <v>0.8411837237977805</v>
      </c>
      <c r="P18" s="199">
        <v>0.86413554677774018</v>
      </c>
      <c r="R18">
        <v>14</v>
      </c>
      <c r="S18" s="252" t="s">
        <v>27</v>
      </c>
      <c r="T18" s="256">
        <v>0.76571428571428579</v>
      </c>
      <c r="U18" s="256">
        <v>1.0522727272727272</v>
      </c>
      <c r="V18" s="256">
        <v>1</v>
      </c>
      <c r="W18" s="256">
        <v>0.88695569789188755</v>
      </c>
      <c r="X18" s="256">
        <v>0.75887761572606216</v>
      </c>
      <c r="Y18" s="256">
        <v>1</v>
      </c>
      <c r="Z18" s="256" t="s">
        <v>183</v>
      </c>
      <c r="AA18" s="256">
        <v>1</v>
      </c>
      <c r="AB18" s="256">
        <v>1.0255962807359507</v>
      </c>
      <c r="AC18" s="256">
        <v>0.79842431063590313</v>
      </c>
      <c r="AD18" s="256">
        <v>0.79114642451759365</v>
      </c>
      <c r="AE18" s="199">
        <v>0.88896254810644371</v>
      </c>
    </row>
    <row r="19" spans="3:31" x14ac:dyDescent="0.25">
      <c r="D19" s="11" t="s">
        <v>78</v>
      </c>
      <c r="E19" s="199" t="s">
        <v>183</v>
      </c>
      <c r="F19" s="199" t="s">
        <v>183</v>
      </c>
      <c r="G19" s="199">
        <v>1</v>
      </c>
      <c r="H19" s="199">
        <v>0.58751204984320093</v>
      </c>
      <c r="I19" s="199">
        <v>0.74494398370435022</v>
      </c>
      <c r="J19" s="199">
        <v>0.8</v>
      </c>
      <c r="K19" s="199" t="s">
        <v>183</v>
      </c>
      <c r="L19" s="199">
        <v>1</v>
      </c>
      <c r="M19" s="199">
        <v>0.85062499999999996</v>
      </c>
      <c r="N19" s="199">
        <v>0.83144991380961508</v>
      </c>
      <c r="O19" s="199">
        <v>0.81005586592178769</v>
      </c>
      <c r="P19" s="199">
        <v>0.83594359613096481</v>
      </c>
      <c r="R19">
        <v>15</v>
      </c>
      <c r="S19" s="252" t="s">
        <v>78</v>
      </c>
      <c r="T19" s="256" t="s">
        <v>183</v>
      </c>
      <c r="U19" s="256" t="s">
        <v>183</v>
      </c>
      <c r="V19" s="256">
        <v>1</v>
      </c>
      <c r="W19" s="256">
        <v>0.58751204984320093</v>
      </c>
      <c r="X19" s="256">
        <v>0.74494398370435022</v>
      </c>
      <c r="Y19" s="256">
        <v>0.8</v>
      </c>
      <c r="Z19" s="256" t="s">
        <v>183</v>
      </c>
      <c r="AA19" s="256">
        <v>1</v>
      </c>
      <c r="AB19" s="256">
        <v>0.85062499999999996</v>
      </c>
      <c r="AC19" s="256">
        <v>0.83144991380961508</v>
      </c>
      <c r="AD19" s="256">
        <v>0.81005586592178769</v>
      </c>
      <c r="AE19" s="199">
        <v>0.83594359613096481</v>
      </c>
    </row>
    <row r="22" spans="3:31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1" x14ac:dyDescent="0.25">
      <c r="E23" s="315" t="s">
        <v>247</v>
      </c>
      <c r="F23" s="316"/>
      <c r="G23" s="316"/>
      <c r="H23" s="316"/>
      <c r="I23" s="317"/>
      <c r="J23" s="306" t="s">
        <v>248</v>
      </c>
      <c r="K23" s="307"/>
      <c r="L23" s="308"/>
      <c r="M23" s="309" t="s">
        <v>249</v>
      </c>
      <c r="N23" s="310"/>
      <c r="O23" s="311"/>
    </row>
    <row r="24" spans="3:31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1" ht="7.15" customHeight="1" thickBot="1" x14ac:dyDescent="0.3">
      <c r="E25" s="202"/>
      <c r="I25" s="203"/>
      <c r="J25" s="202"/>
      <c r="L25" s="203"/>
      <c r="M25" s="202"/>
      <c r="O25" s="203"/>
    </row>
    <row r="26" spans="3:31" ht="30" x14ac:dyDescent="0.25">
      <c r="C26" s="161" t="s">
        <v>250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251</v>
      </c>
      <c r="Q26" s="161" t="s">
        <v>250</v>
      </c>
    </row>
    <row r="27" spans="3:31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252</v>
      </c>
    </row>
    <row r="28" spans="3:31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253</v>
      </c>
    </row>
    <row r="29" spans="3:31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254</v>
      </c>
    </row>
    <row r="30" spans="3:31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255</v>
      </c>
    </row>
    <row r="31" spans="3:31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183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256</v>
      </c>
    </row>
    <row r="32" spans="3:31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257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258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259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260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183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261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183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262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183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263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183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264</v>
      </c>
    </row>
    <row r="40" spans="3:17" ht="15.75" thickBot="1" x14ac:dyDescent="0.3">
      <c r="C40" s="28">
        <v>14</v>
      </c>
      <c r="D40" s="201" t="s">
        <v>78</v>
      </c>
      <c r="E40" s="208" t="s">
        <v>183</v>
      </c>
      <c r="F40" s="209" t="s">
        <v>183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183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265</v>
      </c>
    </row>
    <row r="42" spans="3:17" x14ac:dyDescent="0.25">
      <c r="C42" s="228"/>
      <c r="D42" s="229" t="s">
        <v>266</v>
      </c>
      <c r="E42" s="21"/>
      <c r="G42" s="21">
        <v>0.99</v>
      </c>
    </row>
    <row r="46" spans="3:17" ht="15.75" thickBot="1" x14ac:dyDescent="0.3"/>
    <row r="47" spans="3:17" x14ac:dyDescent="0.25">
      <c r="E47" s="315" t="s">
        <v>267</v>
      </c>
      <c r="F47" s="316"/>
      <c r="G47" s="316"/>
      <c r="H47" s="316"/>
      <c r="I47" s="317"/>
      <c r="J47" s="306" t="s">
        <v>248</v>
      </c>
      <c r="K47" s="307"/>
      <c r="L47" s="308"/>
      <c r="M47" s="309" t="s">
        <v>268</v>
      </c>
      <c r="N47" s="310"/>
      <c r="O47" s="311"/>
      <c r="P47" s="235" t="s">
        <v>173</v>
      </c>
    </row>
    <row r="48" spans="3:17" x14ac:dyDescent="0.25">
      <c r="E48" s="214" t="s">
        <v>183</v>
      </c>
      <c r="F48" s="215" t="s">
        <v>183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183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250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269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3"/>
      <c r="F55" s="253"/>
      <c r="G55" s="253"/>
      <c r="H55" s="253"/>
      <c r="I55" s="253"/>
      <c r="J55" s="253"/>
    </row>
    <row r="56" spans="3:17" x14ac:dyDescent="0.25">
      <c r="E56" s="313" t="s">
        <v>247</v>
      </c>
      <c r="F56" s="314"/>
      <c r="G56" s="314"/>
      <c r="H56" s="314"/>
      <c r="I56" s="314"/>
      <c r="J56" s="314"/>
      <c r="K56" s="306" t="s">
        <v>248</v>
      </c>
      <c r="L56" s="307"/>
      <c r="M56" s="308"/>
      <c r="N56" s="309" t="s">
        <v>268</v>
      </c>
      <c r="O56" s="310"/>
      <c r="P56" s="311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312">
        <v>0.04</v>
      </c>
      <c r="J57" s="312"/>
      <c r="K57" s="217">
        <v>0.05</v>
      </c>
      <c r="L57" s="218" t="s">
        <v>183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250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305" t="s">
        <v>6</v>
      </c>
      <c r="J59" s="305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269</v>
      </c>
    </row>
    <row r="60" spans="3:17" ht="19.5" thickBot="1" x14ac:dyDescent="0.3">
      <c r="C60" s="23" t="s">
        <v>270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4" t="s">
        <v>271</v>
      </c>
      <c r="J60" s="255" t="s">
        <v>272</v>
      </c>
      <c r="K60" s="206">
        <v>1</v>
      </c>
      <c r="L60" s="21" t="s">
        <v>183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  <row r="63" spans="3:17" ht="15.75" thickBot="1" x14ac:dyDescent="0.3">
      <c r="E63" s="253"/>
      <c r="F63" s="253"/>
      <c r="G63" s="253"/>
      <c r="H63" s="253"/>
      <c r="I63" s="253"/>
      <c r="J63" s="253"/>
    </row>
    <row r="64" spans="3:17" x14ac:dyDescent="0.25">
      <c r="E64" s="315" t="s">
        <v>267</v>
      </c>
      <c r="F64" s="316"/>
      <c r="G64" s="316"/>
      <c r="H64" s="316"/>
      <c r="I64" s="317"/>
      <c r="J64" s="306" t="s">
        <v>248</v>
      </c>
      <c r="K64" s="307"/>
      <c r="L64" s="308"/>
      <c r="M64" s="309" t="s">
        <v>268</v>
      </c>
      <c r="N64" s="310"/>
      <c r="O64" s="311"/>
      <c r="P64" s="235" t="s">
        <v>173</v>
      </c>
      <c r="Q64"/>
    </row>
    <row r="65" spans="3:17" x14ac:dyDescent="0.25">
      <c r="E65" s="214">
        <v>0.06</v>
      </c>
      <c r="F65" s="215">
        <v>0.06</v>
      </c>
      <c r="G65" s="215">
        <v>0.05</v>
      </c>
      <c r="H65" s="215">
        <v>0.04</v>
      </c>
      <c r="I65" s="216">
        <v>0.04</v>
      </c>
      <c r="J65" s="217">
        <v>0.05</v>
      </c>
      <c r="K65" s="218">
        <v>0.03</v>
      </c>
      <c r="L65" s="219">
        <v>7.0000000000000007E-2</v>
      </c>
      <c r="M65" s="220">
        <v>0.2</v>
      </c>
      <c r="N65" s="221">
        <v>0.1</v>
      </c>
      <c r="O65" s="222">
        <v>0.3</v>
      </c>
      <c r="P65" s="251">
        <f>SUM(E65:O65)</f>
        <v>1</v>
      </c>
      <c r="Q65"/>
    </row>
    <row r="66" spans="3:17" ht="7.5" customHeight="1" thickBot="1" x14ac:dyDescent="0.3">
      <c r="Q66"/>
    </row>
    <row r="67" spans="3:17" ht="30" x14ac:dyDescent="0.25">
      <c r="C67"/>
      <c r="D67" s="231" t="s">
        <v>1</v>
      </c>
      <c r="E67" s="204" t="s">
        <v>2</v>
      </c>
      <c r="F67" s="161" t="s">
        <v>3</v>
      </c>
      <c r="G67" s="161" t="s">
        <v>4</v>
      </c>
      <c r="H67" s="161" t="s">
        <v>5</v>
      </c>
      <c r="I67" s="205" t="s">
        <v>6</v>
      </c>
      <c r="J67" s="204" t="s">
        <v>7</v>
      </c>
      <c r="K67" s="161" t="s">
        <v>8</v>
      </c>
      <c r="L67" s="205" t="s">
        <v>9</v>
      </c>
      <c r="M67" s="204" t="s">
        <v>10</v>
      </c>
      <c r="N67" s="161" t="s">
        <v>11</v>
      </c>
      <c r="O67" s="200" t="s">
        <v>12</v>
      </c>
      <c r="P67" s="213" t="s">
        <v>273</v>
      </c>
      <c r="Q67"/>
    </row>
    <row r="68" spans="3:17" ht="19.5" thickBot="1" x14ac:dyDescent="0.3">
      <c r="C68"/>
      <c r="D68" s="233" t="s">
        <v>14</v>
      </c>
      <c r="E68" s="232">
        <v>1.026829268292683</v>
      </c>
      <c r="F68" s="21">
        <v>1.0109890109890109</v>
      </c>
      <c r="G68" s="21">
        <v>1</v>
      </c>
      <c r="H68" s="230">
        <v>0.92592592592592582</v>
      </c>
      <c r="I68" s="254">
        <v>1.0695402273164061</v>
      </c>
      <c r="J68" s="257">
        <v>1</v>
      </c>
      <c r="K68" s="206">
        <v>1</v>
      </c>
      <c r="L68" s="21">
        <v>1</v>
      </c>
      <c r="M68" s="230">
        <v>0.75890214819203028</v>
      </c>
      <c r="N68" s="206">
        <v>1</v>
      </c>
      <c r="O68" s="230">
        <v>0.8411837237977805</v>
      </c>
      <c r="P68" s="234">
        <v>0.90117258381477716</v>
      </c>
      <c r="Q68"/>
    </row>
    <row r="69" spans="3:17" ht="15.75" thickBot="1" x14ac:dyDescent="0.3"/>
    <row r="70" spans="3:17" x14ac:dyDescent="0.25">
      <c r="E70" s="315" t="s">
        <v>267</v>
      </c>
      <c r="F70" s="316"/>
      <c r="G70" s="316"/>
      <c r="H70" s="316"/>
      <c r="I70" s="317"/>
      <c r="J70" s="306" t="s">
        <v>248</v>
      </c>
      <c r="K70" s="307"/>
      <c r="L70" s="308"/>
      <c r="M70" s="309" t="s">
        <v>268</v>
      </c>
      <c r="N70" s="310"/>
      <c r="O70" s="311"/>
      <c r="P70" s="235" t="s">
        <v>173</v>
      </c>
    </row>
    <row r="71" spans="3:17" x14ac:dyDescent="0.25">
      <c r="E71" s="214">
        <v>0.06</v>
      </c>
      <c r="F71" s="215">
        <v>0.06</v>
      </c>
      <c r="G71" s="215">
        <v>0.05</v>
      </c>
      <c r="H71" s="215">
        <v>0.04</v>
      </c>
      <c r="I71" s="216">
        <v>0.04</v>
      </c>
      <c r="J71" s="217">
        <v>0.05</v>
      </c>
      <c r="K71" s="218">
        <v>0.03</v>
      </c>
      <c r="L71" s="219">
        <v>7.0000000000000007E-2</v>
      </c>
      <c r="M71" s="220">
        <v>0.2</v>
      </c>
      <c r="N71" s="221">
        <v>0.1</v>
      </c>
      <c r="O71" s="222">
        <v>0.3</v>
      </c>
      <c r="P71" s="251">
        <f>SUM(E71:O71)</f>
        <v>1</v>
      </c>
    </row>
    <row r="72" spans="3:17" ht="6.6" customHeight="1" thickBot="1" x14ac:dyDescent="0.3"/>
    <row r="73" spans="3:17" ht="30" x14ac:dyDescent="0.25">
      <c r="E73" s="204" t="s">
        <v>2</v>
      </c>
      <c r="F73" s="161" t="s">
        <v>3</v>
      </c>
      <c r="G73" s="161" t="s">
        <v>4</v>
      </c>
      <c r="H73" s="161" t="s">
        <v>5</v>
      </c>
      <c r="I73" s="205" t="s">
        <v>6</v>
      </c>
      <c r="J73" s="204" t="s">
        <v>7</v>
      </c>
      <c r="K73" s="161" t="s">
        <v>8</v>
      </c>
      <c r="L73" s="205" t="s">
        <v>9</v>
      </c>
      <c r="M73" s="204" t="s">
        <v>10</v>
      </c>
      <c r="N73" s="161" t="s">
        <v>11</v>
      </c>
      <c r="O73" s="200" t="s">
        <v>12</v>
      </c>
      <c r="P73" s="213" t="s">
        <v>273</v>
      </c>
    </row>
    <row r="74" spans="3:17" ht="19.5" thickBot="1" x14ac:dyDescent="0.3">
      <c r="E74" s="21">
        <v>1.0900000000000001</v>
      </c>
      <c r="F74" s="21">
        <v>1.0863636363636364</v>
      </c>
      <c r="G74" s="21">
        <v>1</v>
      </c>
      <c r="H74" s="230">
        <v>1.1111111111111112</v>
      </c>
      <c r="I74" s="254">
        <v>1.0887536216474836</v>
      </c>
      <c r="J74" s="257">
        <v>1</v>
      </c>
      <c r="K74" s="206">
        <v>1</v>
      </c>
      <c r="L74" s="21">
        <v>1</v>
      </c>
      <c r="M74" s="230">
        <v>1.0420429376444948</v>
      </c>
      <c r="N74" s="206">
        <v>0.97959183673469385</v>
      </c>
      <c r="O74" s="230">
        <v>0.74046372475691846</v>
      </c>
      <c r="P74" s="234"/>
    </row>
  </sheetData>
  <mergeCells count="17">
    <mergeCell ref="E70:I70"/>
    <mergeCell ref="J70:L70"/>
    <mergeCell ref="M70:O70"/>
    <mergeCell ref="E64:I64"/>
    <mergeCell ref="J64:L64"/>
    <mergeCell ref="M64:O64"/>
    <mergeCell ref="E23:I23"/>
    <mergeCell ref="J23:L23"/>
    <mergeCell ref="M23:O23"/>
    <mergeCell ref="E47:I47"/>
    <mergeCell ref="J47:L47"/>
    <mergeCell ref="M47:O47"/>
    <mergeCell ref="I59:J59"/>
    <mergeCell ref="K56:M56"/>
    <mergeCell ref="N56:P56"/>
    <mergeCell ref="I57:J57"/>
    <mergeCell ref="E56:J56"/>
  </mergeCells>
  <conditionalFormatting sqref="E27:E29 E31:E32">
    <cfRule type="cellIs" dxfId="24" priority="32" operator="lessThan">
      <formula>1</formula>
    </cfRule>
  </conditionalFormatting>
  <conditionalFormatting sqref="E30">
    <cfRule type="cellIs" dxfId="23" priority="1" operator="lessThan">
      <formula>0.95</formula>
    </cfRule>
    <cfRule type="cellIs" dxfId="22" priority="2" operator="between">
      <formula>0.99</formula>
      <formula>0.95</formula>
    </cfRule>
  </conditionalFormatting>
  <conditionalFormatting sqref="E42">
    <cfRule type="cellIs" dxfId="21" priority="4" operator="lessThan">
      <formula>0.95</formula>
    </cfRule>
    <cfRule type="cellIs" dxfId="20" priority="5" operator="between">
      <formula>0.99</formula>
      <formula>0.95</formula>
    </cfRule>
  </conditionalFormatting>
  <conditionalFormatting sqref="G42">
    <cfRule type="cellIs" dxfId="19" priority="3" operator="between">
      <formula>0.99</formula>
      <formula>0.95</formula>
    </cfRule>
  </conditionalFormatting>
  <conditionalFormatting sqref="H27:H40">
    <cfRule type="cellIs" dxfId="18" priority="31" operator="between">
      <formula>0.99</formula>
      <formula>0.95</formula>
    </cfRule>
  </conditionalFormatting>
  <conditionalFormatting sqref="H39">
    <cfRule type="cellIs" dxfId="17" priority="30" operator="lessThan">
      <formula>0.95</formula>
    </cfRule>
  </conditionalFormatting>
  <conditionalFormatting sqref="I27:I38">
    <cfRule type="cellIs" dxfId="16" priority="24" operator="between">
      <formula>0.99</formula>
      <formula>0.95</formula>
    </cfRule>
  </conditionalFormatting>
  <conditionalFormatting sqref="I30">
    <cfRule type="cellIs" dxfId="15" priority="27" operator="lessThan">
      <formula>0.95</formula>
    </cfRule>
  </conditionalFormatting>
  <conditionalFormatting sqref="I33">
    <cfRule type="cellIs" dxfId="14" priority="25" operator="lessThan">
      <formula>0.95</formula>
    </cfRule>
  </conditionalFormatting>
  <conditionalFormatting sqref="I36">
    <cfRule type="cellIs" dxfId="13" priority="23" operator="lessThan">
      <formula>0.95</formula>
    </cfRule>
  </conditionalFormatting>
  <conditionalFormatting sqref="M27:M38">
    <cfRule type="cellIs" dxfId="12" priority="21" operator="between">
      <formula>0.99</formula>
      <formula>0.95</formula>
    </cfRule>
  </conditionalFormatting>
  <conditionalFormatting sqref="M38">
    <cfRule type="cellIs" dxfId="11" priority="20" operator="lessThan">
      <formula>0.95</formula>
    </cfRule>
  </conditionalFormatting>
  <conditionalFormatting sqref="M40">
    <cfRule type="cellIs" dxfId="10" priority="18" operator="lessThan">
      <formula>0.95</formula>
    </cfRule>
    <cfRule type="cellIs" dxfId="9" priority="19" operator="between">
      <formula>0.99</formula>
      <formula>0.95</formula>
    </cfRule>
  </conditionalFormatting>
  <conditionalFormatting sqref="N31:N32">
    <cfRule type="cellIs" dxfId="8" priority="8" operator="between">
      <formula>0.99</formula>
      <formula>0.95</formula>
    </cfRule>
  </conditionalFormatting>
  <conditionalFormatting sqref="N32">
    <cfRule type="cellIs" dxfId="7" priority="9" operator="lessThan">
      <formula>0.95</formula>
    </cfRule>
  </conditionalFormatting>
  <conditionalFormatting sqref="N34:N36">
    <cfRule type="cellIs" dxfId="6" priority="16" operator="between">
      <formula>0.99</formula>
      <formula>0.95</formula>
    </cfRule>
  </conditionalFormatting>
  <conditionalFormatting sqref="N36">
    <cfRule type="cellIs" dxfId="5" priority="15" operator="lessThan">
      <formula>0.95</formula>
    </cfRule>
  </conditionalFormatting>
  <conditionalFormatting sqref="O30:O36">
    <cfRule type="cellIs" dxfId="4" priority="12" operator="between">
      <formula>0.99</formula>
      <formula>0.95</formula>
    </cfRule>
  </conditionalFormatting>
  <conditionalFormatting sqref="O31:O36">
    <cfRule type="cellIs" dxfId="3" priority="13" operator="lessThan">
      <formula>0.95</formula>
    </cfRule>
  </conditionalFormatting>
  <conditionalFormatting sqref="O38">
    <cfRule type="cellIs" dxfId="2" priority="6" operator="lessThan">
      <formula>0.95</formula>
    </cfRule>
    <cfRule type="cellIs" dxfId="1" priority="7" operator="between">
      <formula>0.99</formula>
      <formula>0.95</formula>
    </cfRule>
  </conditionalFormatting>
  <conditionalFormatting sqref="P27:P40">
    <cfRule type="cellIs" dxfId="0" priority="33" operator="lessThan">
      <formula>0.9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dimension ref="C1:O20"/>
  <sheetViews>
    <sheetView showGridLines="0" workbookViewId="0">
      <selection activeCell="K16" sqref="K16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315" t="s">
        <v>247</v>
      </c>
      <c r="D2" s="316"/>
      <c r="E2" s="316"/>
      <c r="F2" s="316"/>
      <c r="G2" s="316"/>
      <c r="H2" s="317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312">
        <v>0.04</v>
      </c>
      <c r="H3" s="320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305" t="s">
        <v>6</v>
      </c>
      <c r="H4" s="319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271</v>
      </c>
      <c r="H5" s="249" t="s">
        <v>272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306" t="s">
        <v>248</v>
      </c>
      <c r="E8" s="307"/>
      <c r="F8" s="308"/>
    </row>
    <row r="9" spans="3:15" x14ac:dyDescent="0.25">
      <c r="D9" s="217">
        <v>0.05</v>
      </c>
      <c r="E9" s="218" t="s">
        <v>183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183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309" t="s">
        <v>249</v>
      </c>
      <c r="E14" s="310"/>
      <c r="F14" s="311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321" t="s">
        <v>251</v>
      </c>
      <c r="E19" s="321"/>
      <c r="F19" s="321"/>
    </row>
    <row r="20" spans="4:6" ht="21.75" thickBot="1" x14ac:dyDescent="0.4">
      <c r="D20" s="318">
        <v>0.88896254810644371</v>
      </c>
      <c r="E20" s="318"/>
      <c r="F20" s="318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322" t="s">
        <v>2</v>
      </c>
      <c r="D4" s="322"/>
      <c r="E4" s="322" t="s">
        <v>3</v>
      </c>
      <c r="F4" s="322"/>
      <c r="G4" s="322" t="s">
        <v>4</v>
      </c>
      <c r="H4" s="322"/>
      <c r="I4" s="322" t="s">
        <v>5</v>
      </c>
      <c r="J4" s="322"/>
      <c r="K4" s="322" t="s">
        <v>6</v>
      </c>
      <c r="L4" s="322"/>
      <c r="M4" s="322" t="s">
        <v>7</v>
      </c>
      <c r="N4" s="322"/>
      <c r="O4" s="322" t="s">
        <v>8</v>
      </c>
      <c r="P4" s="322"/>
      <c r="Q4" s="322" t="s">
        <v>9</v>
      </c>
      <c r="R4" s="322"/>
      <c r="S4" s="322" t="s">
        <v>10</v>
      </c>
      <c r="T4" s="322"/>
      <c r="U4" s="322" t="s">
        <v>11</v>
      </c>
      <c r="V4" s="322"/>
      <c r="W4" s="322" t="s">
        <v>12</v>
      </c>
      <c r="X4" s="322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K4:L4"/>
    <mergeCell ref="I4:J4"/>
    <mergeCell ref="G4:H4"/>
    <mergeCell ref="E4:F4"/>
    <mergeCell ref="C4:D4"/>
    <mergeCell ref="M4:N4"/>
    <mergeCell ref="W4:X4"/>
    <mergeCell ref="U4:V4"/>
    <mergeCell ref="S4:T4"/>
    <mergeCell ref="Q4:R4"/>
    <mergeCell ref="O4:P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44e3707f07775240bdef146fb58fa036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d880b52adca6881024576c200fd41685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AA903F-84BC-4B1C-9BC3-FB43A782A246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242fb338-6e7f-46c2-a04d-1835f0b57452"/>
    <ds:schemaRef ds:uri="http://purl.org/dc/dcmitype/"/>
    <ds:schemaRef ds:uri="22ff7873-98f4-4119-bbca-70544c3aaded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8E0212-3743-43DD-85B3-E4870CCC56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AP25</vt:lpstr>
      <vt:lpstr>OR Q1</vt:lpstr>
      <vt:lpstr>OR Q2</vt:lpstr>
      <vt:lpstr>AP25JUL</vt:lpstr>
      <vt:lpstr>OR AUG</vt:lpstr>
      <vt:lpstr>AP25AUG</vt:lpstr>
      <vt:lpstr>OR SEP</vt:lpstr>
      <vt:lpstr>AP25SEP</vt:lpstr>
      <vt:lpstr>OROCT</vt:lpstr>
      <vt:lpstr>AP25OCT</vt:lpstr>
      <vt:lpstr>NOV</vt:lpstr>
      <vt:lpstr>AP25NOV</vt:lpstr>
      <vt:lpstr>DEC</vt:lpstr>
      <vt:lpstr>AP25DEC</vt:lpstr>
      <vt:lpstr>Sheet1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Mauricio Hernandez</cp:lastModifiedBy>
  <cp:revision/>
  <dcterms:created xsi:type="dcterms:W3CDTF">2025-07-25T20:17:59Z</dcterms:created>
  <dcterms:modified xsi:type="dcterms:W3CDTF">2026-01-28T02:09:22Z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