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leona\OneDrive\Desktop\Propuesta graficas DND\Dashboard_NIBU\"/>
    </mc:Choice>
  </mc:AlternateContent>
  <xr:revisionPtr revIDLastSave="0" documentId="13_ncr:1_{8EC41C47-2AE1-45A3-9514-120261075E79}" xr6:coauthVersionLast="47" xr6:coauthVersionMax="47" xr10:uidLastSave="{00000000-0000-0000-0000-000000000000}"/>
  <bookViews>
    <workbookView xWindow="-120" yWindow="-120" windowWidth="20730" windowHeight="11040" firstSheet="1" activeTab="1" xr2:uid="{7269C79B-1F81-48BE-9D00-6D51E83CC0CF}"/>
  </bookViews>
  <sheets>
    <sheet name="DB (2)" sheetId="7" state="hidden" r:id="rId1"/>
    <sheet name="Data" sheetId="1" r:id="rId2"/>
    <sheet name="Annual Plan" sheetId="8" state="hidden" r:id="rId3"/>
    <sheet name="DB" sheetId="4" r:id="rId4"/>
    <sheet name="WB" sheetId="5" state="hidden" r:id="rId5"/>
    <sheet name="Sheet2" sheetId="2" state="hidden" r:id="rId6"/>
    <sheet name="Tracking" sheetId="6" r:id="rId7"/>
  </sheets>
  <externalReferences>
    <externalReference r:id="rId8"/>
  </externalReferences>
  <definedNames>
    <definedName name="Slicer_BDM">#N/A</definedName>
    <definedName name="Slicer_Priority">#N/A</definedName>
    <definedName name="Slicer_RAM">#N/A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5" l="1"/>
  <c r="I36" i="5"/>
  <c r="Q157" i="5"/>
  <c r="D43" i="6" l="1"/>
  <c r="I5" i="1"/>
  <c r="I6" i="1"/>
  <c r="I7" i="1"/>
  <c r="I8" i="1"/>
  <c r="I9" i="1"/>
  <c r="I10" i="1"/>
  <c r="I11" i="1"/>
  <c r="I12" i="1"/>
  <c r="I13" i="1"/>
  <c r="I14" i="1"/>
  <c r="I15" i="1"/>
  <c r="I16" i="1"/>
  <c r="I17" i="1"/>
  <c r="I4" i="1"/>
  <c r="E5" i="1"/>
  <c r="E6" i="1"/>
  <c r="E7" i="1"/>
  <c r="E8" i="1"/>
  <c r="E9" i="1"/>
  <c r="E10" i="1"/>
  <c r="E11" i="1"/>
  <c r="E12" i="1"/>
  <c r="E13" i="1"/>
  <c r="E14" i="1"/>
  <c r="E15" i="1"/>
  <c r="E16" i="1"/>
  <c r="E17" i="1"/>
  <c r="E4" i="1"/>
  <c r="H72" i="5" l="1"/>
  <c r="I72" i="5"/>
  <c r="H73" i="5"/>
  <c r="I73" i="5"/>
  <c r="U5" i="1" l="1"/>
  <c r="U6" i="1"/>
  <c r="U7" i="1"/>
  <c r="U8" i="1"/>
  <c r="U9" i="1"/>
  <c r="U10" i="1"/>
  <c r="U11" i="1"/>
  <c r="U12" i="1"/>
  <c r="U13" i="1"/>
  <c r="U14" i="1"/>
  <c r="U15" i="1"/>
  <c r="U16" i="1"/>
  <c r="U17" i="1"/>
  <c r="U18" i="1"/>
  <c r="U4" i="1"/>
  <c r="H37" i="5" l="1"/>
  <c r="I37" i="5"/>
  <c r="AL6" i="1"/>
  <c r="AL7" i="1"/>
  <c r="AL8" i="1"/>
  <c r="AL9" i="1"/>
  <c r="AL10" i="1"/>
  <c r="AL11" i="1"/>
  <c r="AL12" i="1"/>
  <c r="AL13" i="1"/>
  <c r="AL14" i="1"/>
  <c r="AL15" i="1"/>
  <c r="AL16" i="1"/>
  <c r="AL17" i="1"/>
  <c r="AL18" i="1"/>
  <c r="AL19" i="1"/>
  <c r="AL20" i="1"/>
  <c r="AL21" i="1"/>
  <c r="AL22" i="1"/>
  <c r="AL5" i="1"/>
  <c r="AL4" i="1"/>
  <c r="AH5" i="1"/>
  <c r="AH6" i="1"/>
  <c r="AH7" i="1"/>
  <c r="AH8" i="1"/>
  <c r="AH9" i="1"/>
  <c r="AH10" i="1"/>
  <c r="AH11" i="1"/>
  <c r="AH12" i="1"/>
  <c r="AH13" i="1"/>
  <c r="AH14" i="1"/>
  <c r="AH15" i="1"/>
  <c r="AH16" i="1"/>
  <c r="AH19" i="1"/>
  <c r="AH20" i="1"/>
  <c r="AH21" i="1"/>
  <c r="AH22" i="1"/>
  <c r="AH4" i="1"/>
  <c r="J132" i="5"/>
  <c r="AH18" i="1" s="1"/>
  <c r="J131" i="5"/>
  <c r="AH17" i="1" s="1"/>
  <c r="G37" i="5"/>
  <c r="J38" i="5"/>
  <c r="K38" i="5"/>
  <c r="L38" i="5"/>
  <c r="M38" i="5"/>
  <c r="N38" i="5"/>
  <c r="D38" i="5"/>
  <c r="H58" i="7"/>
  <c r="I58" i="7" s="1"/>
  <c r="H57" i="7"/>
  <c r="I57" i="7" s="1"/>
  <c r="O158" i="5"/>
  <c r="F37" i="5" l="1"/>
  <c r="E38" i="5"/>
  <c r="C38" i="5"/>
  <c r="D37" i="5"/>
  <c r="E37" i="5"/>
  <c r="G38" i="5"/>
  <c r="I38" i="5"/>
  <c r="H38" i="5"/>
  <c r="F38" i="5"/>
  <c r="H132" i="5"/>
  <c r="H131" i="5"/>
  <c r="D41" i="6"/>
  <c r="O139" i="5"/>
  <c r="O140" i="5"/>
  <c r="O141" i="5"/>
  <c r="O142" i="5"/>
  <c r="O143" i="5"/>
  <c r="O144" i="5"/>
  <c r="O145" i="5"/>
  <c r="O146" i="5"/>
  <c r="O147" i="5"/>
  <c r="O148" i="5"/>
  <c r="O149" i="5"/>
  <c r="O150" i="5"/>
  <c r="O151" i="5"/>
  <c r="O157" i="5" s="1"/>
  <c r="O138" i="5"/>
  <c r="AX5" i="1"/>
  <c r="AX6" i="1"/>
  <c r="AX7" i="1"/>
  <c r="AX8" i="1"/>
  <c r="AX9" i="1"/>
  <c r="AX10" i="1"/>
  <c r="AX11" i="1"/>
  <c r="AX12" i="1"/>
  <c r="AX13" i="1"/>
  <c r="AX14" i="1"/>
  <c r="AX15" i="1"/>
  <c r="AX16" i="1"/>
  <c r="AX19" i="1"/>
  <c r="AX20" i="1"/>
  <c r="AX21" i="1"/>
  <c r="AX22" i="1"/>
  <c r="BB5" i="1"/>
  <c r="BB6" i="1"/>
  <c r="BB7" i="1"/>
  <c r="BB8" i="1"/>
  <c r="BB9" i="1"/>
  <c r="BB10" i="1"/>
  <c r="BB11" i="1"/>
  <c r="BB12" i="1"/>
  <c r="BB13" i="1"/>
  <c r="BB14" i="1"/>
  <c r="BB15" i="1"/>
  <c r="BB16" i="1"/>
  <c r="BB19" i="1"/>
  <c r="BB20" i="1"/>
  <c r="BB21" i="1"/>
  <c r="BB22" i="1"/>
  <c r="BB4" i="1"/>
  <c r="AX4" i="1"/>
  <c r="BB18" i="1"/>
  <c r="AX17" i="1"/>
  <c r="AX18" i="1"/>
  <c r="D42" i="6" l="1"/>
  <c r="BB17" i="1"/>
  <c r="T78" i="2" l="1"/>
  <c r="U78" i="2" s="1"/>
  <c r="T77" i="2"/>
  <c r="U77" i="2" s="1"/>
  <c r="AB130" i="5"/>
  <c r="AA130" i="5"/>
  <c r="AB131" i="5"/>
  <c r="AA131" i="5"/>
  <c r="AC131" i="5" l="1"/>
  <c r="AC130" i="5"/>
  <c r="M157" i="5"/>
  <c r="M156" i="5"/>
  <c r="D76" i="6" l="1"/>
  <c r="E76" i="6" s="1"/>
  <c r="D75" i="6"/>
  <c r="E75" i="6" s="1"/>
  <c r="D74" i="6"/>
  <c r="E74" i="6" s="1"/>
  <c r="D73" i="6"/>
  <c r="E73" i="6" s="1"/>
  <c r="D72" i="6"/>
  <c r="E72" i="6" s="1"/>
  <c r="D71" i="6"/>
  <c r="E71" i="6" s="1"/>
  <c r="D70" i="6"/>
  <c r="E70" i="6" s="1"/>
  <c r="D69" i="6"/>
  <c r="E69" i="6" s="1"/>
  <c r="D68" i="6"/>
  <c r="E68" i="6" s="1"/>
  <c r="D67" i="6"/>
  <c r="E67" i="6" s="1"/>
  <c r="U4" i="5"/>
  <c r="V4" i="5"/>
  <c r="W4" i="5"/>
  <c r="X4" i="5"/>
  <c r="Y4" i="5"/>
  <c r="Z4" i="5"/>
  <c r="AA4" i="5"/>
  <c r="AB4" i="5"/>
  <c r="AC4" i="5"/>
  <c r="U5" i="5"/>
  <c r="V5" i="5"/>
  <c r="W5" i="5"/>
  <c r="X5" i="5"/>
  <c r="Y5" i="5"/>
  <c r="Z5" i="5"/>
  <c r="AA5" i="5"/>
  <c r="AB5" i="5"/>
  <c r="AC5" i="5"/>
  <c r="U6" i="5"/>
  <c r="V6" i="5"/>
  <c r="W6" i="5"/>
  <c r="X6" i="5"/>
  <c r="Y6" i="5"/>
  <c r="Z6" i="5"/>
  <c r="AA6" i="5"/>
  <c r="AB6" i="5"/>
  <c r="AC6" i="5"/>
  <c r="U7" i="5"/>
  <c r="V7" i="5"/>
  <c r="W7" i="5"/>
  <c r="X7" i="5"/>
  <c r="Y7" i="5"/>
  <c r="Z7" i="5"/>
  <c r="AA7" i="5"/>
  <c r="AB7" i="5"/>
  <c r="AC7" i="5"/>
  <c r="U8" i="5"/>
  <c r="V8" i="5"/>
  <c r="W8" i="5"/>
  <c r="X8" i="5"/>
  <c r="Y8" i="5"/>
  <c r="Z8" i="5"/>
  <c r="AA8" i="5"/>
  <c r="AB8" i="5"/>
  <c r="AC8" i="5"/>
  <c r="U9" i="5"/>
  <c r="V9" i="5"/>
  <c r="W9" i="5"/>
  <c r="X9" i="5"/>
  <c r="Y9" i="5"/>
  <c r="Z9" i="5"/>
  <c r="AA9" i="5"/>
  <c r="AB9" i="5"/>
  <c r="AC9" i="5"/>
  <c r="U10" i="5"/>
  <c r="V10" i="5"/>
  <c r="W10" i="5"/>
  <c r="X10" i="5"/>
  <c r="Y10" i="5"/>
  <c r="Z10" i="5"/>
  <c r="AA10" i="5"/>
  <c r="AB10" i="5"/>
  <c r="AC10" i="5"/>
  <c r="U11" i="5"/>
  <c r="V11" i="5"/>
  <c r="W11" i="5"/>
  <c r="X11" i="5"/>
  <c r="Y11" i="5"/>
  <c r="Z11" i="5"/>
  <c r="AA11" i="5"/>
  <c r="AB11" i="5"/>
  <c r="AC11" i="5"/>
  <c r="U12" i="5"/>
  <c r="V12" i="5"/>
  <c r="W12" i="5"/>
  <c r="X12" i="5"/>
  <c r="Y12" i="5"/>
  <c r="Z12" i="5"/>
  <c r="AA12" i="5"/>
  <c r="AB12" i="5"/>
  <c r="AC12" i="5"/>
  <c r="U13" i="5"/>
  <c r="V13" i="5"/>
  <c r="W13" i="5"/>
  <c r="X13" i="5"/>
  <c r="Y13" i="5"/>
  <c r="Z13" i="5"/>
  <c r="AA13" i="5"/>
  <c r="AB13" i="5"/>
  <c r="AC13" i="5"/>
  <c r="U14" i="5"/>
  <c r="V14" i="5"/>
  <c r="W14" i="5"/>
  <c r="X14" i="5"/>
  <c r="Y14" i="5"/>
  <c r="Z14" i="5"/>
  <c r="AA14" i="5"/>
  <c r="AB14" i="5"/>
  <c r="AC14" i="5"/>
  <c r="U15" i="5"/>
  <c r="V15" i="5"/>
  <c r="W15" i="5"/>
  <c r="X15" i="5"/>
  <c r="Y15" i="5"/>
  <c r="Z15" i="5"/>
  <c r="AA15" i="5"/>
  <c r="AB15" i="5"/>
  <c r="AC15" i="5"/>
  <c r="U16" i="5"/>
  <c r="V16" i="5"/>
  <c r="W16" i="5"/>
  <c r="X16" i="5"/>
  <c r="Y16" i="5"/>
  <c r="Z16" i="5"/>
  <c r="AA16" i="5"/>
  <c r="AB16" i="5"/>
  <c r="AC16" i="5"/>
  <c r="U17" i="5"/>
  <c r="V17" i="5"/>
  <c r="W17" i="5"/>
  <c r="X17" i="5"/>
  <c r="Y17" i="5"/>
  <c r="Z17" i="5"/>
  <c r="AA17" i="5"/>
  <c r="AB17" i="5"/>
  <c r="AC17" i="5"/>
  <c r="U18" i="5"/>
  <c r="V18" i="5"/>
  <c r="W18" i="5"/>
  <c r="X18" i="5"/>
  <c r="Y18" i="5"/>
  <c r="Z18" i="5"/>
  <c r="AA18" i="5"/>
  <c r="AB18" i="5"/>
  <c r="AC18" i="5"/>
  <c r="T5" i="5"/>
  <c r="T6" i="5"/>
  <c r="T7" i="5"/>
  <c r="T8" i="5"/>
  <c r="T9" i="5"/>
  <c r="T10" i="5"/>
  <c r="T11" i="5"/>
  <c r="T12" i="5"/>
  <c r="T13" i="5"/>
  <c r="T14" i="5"/>
  <c r="T15" i="5"/>
  <c r="T16" i="5"/>
  <c r="T17" i="5"/>
  <c r="T18" i="5"/>
  <c r="T4" i="5"/>
  <c r="G73" i="5" l="1"/>
  <c r="F73" i="5"/>
  <c r="F72" i="5"/>
  <c r="G72" i="5"/>
  <c r="F132" i="5" l="1"/>
  <c r="F131" i="5"/>
  <c r="C36" i="5"/>
  <c r="F35" i="7"/>
  <c r="G35" i="7" s="1"/>
  <c r="K35" i="7"/>
  <c r="C26" i="7"/>
  <c r="X11" i="7"/>
  <c r="V11" i="7"/>
  <c r="M11" i="7"/>
  <c r="M10" i="7"/>
  <c r="I9" i="7"/>
  <c r="H9" i="7"/>
  <c r="D9" i="7"/>
  <c r="C9" i="7"/>
  <c r="C37" i="5" l="1"/>
  <c r="N26" i="4" l="1"/>
  <c r="C26" i="4"/>
  <c r="N9" i="7"/>
  <c r="X11" i="4"/>
  <c r="N78" i="6"/>
  <c r="N77" i="6"/>
  <c r="N76" i="6"/>
  <c r="N75" i="6"/>
  <c r="N70" i="6"/>
  <c r="N69" i="6"/>
  <c r="N68" i="6"/>
  <c r="N67" i="6"/>
  <c r="AK37" i="5"/>
  <c r="AK36" i="5"/>
  <c r="AK35" i="5"/>
  <c r="AK34" i="5"/>
  <c r="AK33" i="5"/>
  <c r="AK32" i="5"/>
  <c r="AK31" i="5"/>
  <c r="AK30" i="5"/>
  <c r="AK29" i="5"/>
  <c r="AK28" i="5"/>
  <c r="AK27" i="5"/>
  <c r="AK26" i="5"/>
  <c r="AK25" i="5"/>
  <c r="AK24" i="5"/>
  <c r="AK23" i="5"/>
  <c r="AK5" i="5"/>
  <c r="AK6" i="5"/>
  <c r="AK7" i="5"/>
  <c r="AK8" i="5"/>
  <c r="AK9" i="5"/>
  <c r="AK10" i="5"/>
  <c r="AK11" i="5"/>
  <c r="AK12" i="5"/>
  <c r="AK13" i="5"/>
  <c r="AK14" i="5"/>
  <c r="AK15" i="5"/>
  <c r="AK16" i="5"/>
  <c r="AK17" i="5"/>
  <c r="AK18" i="5"/>
  <c r="AK4" i="5"/>
  <c r="E73" i="5"/>
  <c r="D73" i="5"/>
  <c r="V26" i="4"/>
  <c r="E62" i="6"/>
  <c r="D62" i="6"/>
  <c r="E61" i="6"/>
  <c r="D61" i="6"/>
  <c r="E60" i="6"/>
  <c r="D60" i="6"/>
  <c r="E59" i="6"/>
  <c r="D59" i="6"/>
  <c r="E58" i="6"/>
  <c r="D58" i="6"/>
  <c r="E57" i="6"/>
  <c r="D57" i="6"/>
  <c r="E56" i="6"/>
  <c r="D56" i="6"/>
  <c r="E55" i="6"/>
  <c r="D55" i="6"/>
  <c r="E72" i="5"/>
  <c r="D72" i="5"/>
  <c r="S35" i="6"/>
  <c r="C48" i="6"/>
  <c r="C47" i="6"/>
  <c r="C46" i="6"/>
  <c r="C45" i="6"/>
  <c r="C44" i="6"/>
  <c r="C43" i="6"/>
  <c r="C42" i="6"/>
  <c r="C41" i="6"/>
  <c r="D40" i="6"/>
  <c r="C40" i="6"/>
  <c r="D39" i="6"/>
  <c r="C39" i="6"/>
  <c r="D38" i="6"/>
  <c r="C38" i="6"/>
  <c r="D37" i="6"/>
  <c r="C37" i="6"/>
  <c r="AD8" i="5" l="1"/>
  <c r="D54" i="6"/>
  <c r="E54" i="6"/>
  <c r="AD12" i="5"/>
  <c r="AD10" i="5"/>
  <c r="AD9" i="5"/>
  <c r="O74" i="6"/>
  <c r="O67" i="6"/>
  <c r="O68" i="6" s="1"/>
  <c r="AD16" i="5"/>
  <c r="AD18" i="5"/>
  <c r="AD17" i="5"/>
  <c r="AD13" i="5"/>
  <c r="AD14" i="5"/>
  <c r="AD11" i="5"/>
  <c r="AD7" i="5"/>
  <c r="AD5" i="5"/>
  <c r="AD6" i="5"/>
  <c r="E78" i="6"/>
  <c r="D78" i="6" s="1"/>
  <c r="AD15" i="5"/>
  <c r="AD4" i="5"/>
  <c r="T35" i="6"/>
  <c r="U35" i="6" s="1"/>
  <c r="V35" i="6" s="1"/>
  <c r="D131" i="5" l="1"/>
  <c r="D132" i="5"/>
  <c r="V11" i="4"/>
  <c r="D31" i="6"/>
  <c r="D30" i="6"/>
  <c r="D29" i="6"/>
  <c r="D28" i="6"/>
  <c r="D27" i="6"/>
  <c r="D26" i="6"/>
  <c r="D25" i="6"/>
  <c r="D24" i="6"/>
  <c r="D16" i="6"/>
  <c r="D15" i="6"/>
  <c r="D14" i="6"/>
  <c r="D13" i="6"/>
  <c r="D12" i="6"/>
  <c r="D11" i="6"/>
  <c r="D10" i="6"/>
  <c r="D23" i="6"/>
  <c r="C23" i="6"/>
  <c r="C24" i="6" s="1"/>
  <c r="C25" i="6" s="1"/>
  <c r="C26" i="6" s="1"/>
  <c r="C27" i="6" s="1"/>
  <c r="C28" i="6" s="1"/>
  <c r="C29" i="6" s="1"/>
  <c r="C30" i="6" s="1"/>
  <c r="C31" i="6" s="1"/>
  <c r="C8" i="6"/>
  <c r="C9" i="6" s="1"/>
  <c r="C10" i="6" s="1"/>
  <c r="C11" i="6" s="1"/>
  <c r="C12" i="6" s="1"/>
  <c r="C13" i="6" s="1"/>
  <c r="C14" i="6" s="1"/>
  <c r="C15" i="6" s="1"/>
  <c r="C16" i="6" s="1"/>
  <c r="D9" i="6"/>
  <c r="D8" i="6"/>
  <c r="Q33" i="2"/>
  <c r="Q34" i="2" s="1"/>
  <c r="T20" i="6" l="1"/>
  <c r="T5" i="6"/>
  <c r="S5" i="6"/>
  <c r="S20" i="6"/>
  <c r="L35" i="7"/>
  <c r="Y5" i="1"/>
  <c r="Z5" i="1" s="1"/>
  <c r="Y6" i="1"/>
  <c r="Z6" i="1" s="1"/>
  <c r="Y7" i="1"/>
  <c r="Z7" i="1" s="1"/>
  <c r="Y8" i="1"/>
  <c r="Z8" i="1" s="1"/>
  <c r="Y9" i="1"/>
  <c r="Z9" i="1" s="1"/>
  <c r="Y10" i="1"/>
  <c r="Z10" i="1" s="1"/>
  <c r="Y11" i="1"/>
  <c r="Z11" i="1" s="1"/>
  <c r="Y12" i="1"/>
  <c r="Z12" i="1" s="1"/>
  <c r="Y13" i="1"/>
  <c r="Y14" i="1"/>
  <c r="Z14" i="1" s="1"/>
  <c r="Y15" i="1"/>
  <c r="Z15" i="1" s="1"/>
  <c r="Y16" i="1"/>
  <c r="Z16" i="1" s="1"/>
  <c r="Y17" i="1"/>
  <c r="Z17" i="1" s="1"/>
  <c r="Y18" i="1"/>
  <c r="Z18" i="1" s="1"/>
  <c r="Y4" i="1"/>
  <c r="Z4" i="1" s="1"/>
  <c r="AC5" i="1"/>
  <c r="AC6" i="1"/>
  <c r="AC7" i="1"/>
  <c r="AC8" i="1"/>
  <c r="AC9" i="1"/>
  <c r="AC10" i="1"/>
  <c r="AC11" i="1"/>
  <c r="AC12" i="1"/>
  <c r="AC13" i="1"/>
  <c r="AC4" i="1"/>
  <c r="AF15" i="1"/>
  <c r="AF16" i="1"/>
  <c r="AF17" i="1"/>
  <c r="AF18" i="1"/>
  <c r="AF14" i="1"/>
  <c r="AF12" i="1"/>
  <c r="AF13" i="1"/>
  <c r="AF5" i="1"/>
  <c r="AF6" i="1"/>
  <c r="AF7" i="1"/>
  <c r="AF8" i="1"/>
  <c r="AF9" i="1"/>
  <c r="AF10" i="1"/>
  <c r="D35" i="4" s="1"/>
  <c r="AF11" i="1"/>
  <c r="AF4" i="1"/>
  <c r="O5" i="1"/>
  <c r="O6" i="1"/>
  <c r="O7" i="1"/>
  <c r="O8" i="1"/>
  <c r="O9" i="1"/>
  <c r="O10" i="1"/>
  <c r="O11" i="1"/>
  <c r="O12" i="1"/>
  <c r="O13" i="1"/>
  <c r="O14" i="1"/>
  <c r="O15" i="1"/>
  <c r="O16" i="1"/>
  <c r="O17" i="1"/>
  <c r="O18" i="1"/>
  <c r="O4" i="1"/>
  <c r="N11" i="7"/>
  <c r="N14" i="7" s="1"/>
  <c r="N10" i="7"/>
  <c r="M14" i="7" s="1"/>
  <c r="J37" i="5"/>
  <c r="K37" i="5"/>
  <c r="L37" i="5"/>
  <c r="M37" i="5"/>
  <c r="N37" i="5"/>
  <c r="D36" i="5"/>
  <c r="E36" i="5"/>
  <c r="G36" i="5"/>
  <c r="H36" i="5"/>
  <c r="J36" i="5"/>
  <c r="K36" i="5"/>
  <c r="L36" i="5"/>
  <c r="M36" i="5"/>
  <c r="N36" i="5"/>
  <c r="O5" i="5"/>
  <c r="AP20" i="1" s="1"/>
  <c r="O6" i="5"/>
  <c r="O7" i="5"/>
  <c r="O8" i="5"/>
  <c r="O9" i="5"/>
  <c r="O10" i="5"/>
  <c r="AP21" i="1" s="1"/>
  <c r="O11" i="5"/>
  <c r="AP16" i="1" s="1"/>
  <c r="O12" i="5"/>
  <c r="AP4" i="1" s="1"/>
  <c r="O13" i="5"/>
  <c r="AP6" i="1" s="1"/>
  <c r="O14" i="5"/>
  <c r="AP22" i="1" s="1"/>
  <c r="O15" i="5"/>
  <c r="O16" i="5"/>
  <c r="AP13" i="1" s="1"/>
  <c r="O17" i="5"/>
  <c r="AP7" i="1" s="1"/>
  <c r="O18" i="5"/>
  <c r="AP10" i="1" s="1"/>
  <c r="O19" i="5"/>
  <c r="O20" i="5"/>
  <c r="O21" i="5"/>
  <c r="AP14" i="1" s="1"/>
  <c r="O22" i="5"/>
  <c r="AP19" i="1" s="1"/>
  <c r="O23" i="5"/>
  <c r="AP11" i="1" s="1"/>
  <c r="O24" i="5"/>
  <c r="O25" i="5"/>
  <c r="AP12" i="1" s="1"/>
  <c r="O26" i="5"/>
  <c r="AP5" i="1" s="1"/>
  <c r="O27" i="5"/>
  <c r="AP8" i="1" s="1"/>
  <c r="R35" i="7" s="1"/>
  <c r="S35" i="7" s="1"/>
  <c r="T35" i="7" s="1"/>
  <c r="O28" i="5"/>
  <c r="AP15" i="1" s="1"/>
  <c r="O29" i="5"/>
  <c r="O30" i="5"/>
  <c r="O31" i="5"/>
  <c r="O32" i="5"/>
  <c r="O33" i="5"/>
  <c r="O34" i="5"/>
  <c r="O35" i="5"/>
  <c r="AP9" i="1" s="1"/>
  <c r="O4" i="5"/>
  <c r="M10" i="4"/>
  <c r="M9" i="4"/>
  <c r="H9" i="4"/>
  <c r="C9" i="4"/>
  <c r="L25" i="2"/>
  <c r="L26" i="2"/>
  <c r="L27" i="2"/>
  <c r="K25" i="2"/>
  <c r="K26" i="2"/>
  <c r="K27" i="2"/>
  <c r="L24" i="2"/>
  <c r="K24" i="2"/>
  <c r="J27" i="2"/>
  <c r="J25" i="2"/>
  <c r="J26" i="2"/>
  <c r="J24" i="2"/>
  <c r="K23" i="2" l="1"/>
  <c r="L23" i="2"/>
  <c r="O38" i="5"/>
  <c r="Z13" i="1"/>
  <c r="G26" i="4"/>
  <c r="U20" i="6"/>
  <c r="V20" i="6" s="1"/>
  <c r="O37" i="5"/>
  <c r="AP17" i="1" s="1"/>
  <c r="O36" i="5"/>
  <c r="AP18" i="1" s="1"/>
  <c r="U5" i="6"/>
  <c r="V5" i="6" s="1"/>
  <c r="V5" i="1"/>
  <c r="W5" i="1" s="1"/>
  <c r="V6" i="1"/>
  <c r="W6" i="1" s="1"/>
  <c r="V7" i="1"/>
  <c r="W7" i="1" s="1"/>
  <c r="V8" i="1"/>
  <c r="V9" i="1"/>
  <c r="W9" i="1" s="1"/>
  <c r="V11" i="1"/>
  <c r="W11" i="1" s="1"/>
  <c r="V12" i="1"/>
  <c r="W12" i="1" s="1"/>
  <c r="V13" i="1"/>
  <c r="W13" i="1" s="1"/>
  <c r="V14" i="1"/>
  <c r="W14" i="1" s="1"/>
  <c r="V15" i="1"/>
  <c r="W15" i="1" s="1"/>
  <c r="V16" i="1"/>
  <c r="W16" i="1" s="1"/>
  <c r="V17" i="1"/>
  <c r="W17" i="1" s="1"/>
  <c r="V18" i="1"/>
  <c r="W18" i="1" s="1"/>
  <c r="U19" i="1"/>
  <c r="V19" i="1" s="1"/>
  <c r="U20" i="1"/>
  <c r="V20" i="1" s="1"/>
  <c r="U21" i="1"/>
  <c r="V21" i="1" s="1"/>
  <c r="U22" i="1"/>
  <c r="V22" i="1" s="1"/>
  <c r="V4" i="1"/>
  <c r="W4" i="1" s="1"/>
  <c r="M23" i="2" l="1"/>
  <c r="W8" i="1"/>
  <c r="O9" i="7"/>
  <c r="P9" i="7" s="1"/>
  <c r="V10" i="1"/>
  <c r="N9" i="4"/>
  <c r="BC5" i="1"/>
  <c r="BC6" i="1"/>
  <c r="BC7" i="1"/>
  <c r="BC8" i="1"/>
  <c r="O11" i="7" s="1"/>
  <c r="P11" i="7" s="1"/>
  <c r="BC9" i="1"/>
  <c r="BC10" i="1"/>
  <c r="BC11" i="1"/>
  <c r="BC12" i="1"/>
  <c r="BC13" i="1"/>
  <c r="BC14" i="1"/>
  <c r="BC15" i="1"/>
  <c r="BC16" i="1"/>
  <c r="BC18" i="1"/>
  <c r="BC19" i="1"/>
  <c r="BC20" i="1"/>
  <c r="BC21" i="1"/>
  <c r="BC22" i="1"/>
  <c r="BC4" i="1"/>
  <c r="AY5" i="1"/>
  <c r="AY6" i="1"/>
  <c r="AY7" i="1"/>
  <c r="AY8" i="1"/>
  <c r="O10" i="7" s="1"/>
  <c r="P10" i="7" s="1"/>
  <c r="AY9" i="1"/>
  <c r="AY10" i="1"/>
  <c r="AY11" i="1"/>
  <c r="AY12" i="1"/>
  <c r="AY13" i="1"/>
  <c r="AY14" i="1"/>
  <c r="AY15" i="1"/>
  <c r="AY16" i="1"/>
  <c r="AY18" i="1"/>
  <c r="AY19" i="1"/>
  <c r="AY20" i="1"/>
  <c r="AY21" i="1"/>
  <c r="AY22" i="1"/>
  <c r="AY4" i="1"/>
  <c r="O9" i="4" l="1"/>
  <c r="P9" i="4" s="1"/>
  <c r="W10" i="1"/>
  <c r="BD15" i="1"/>
  <c r="BD22" i="1"/>
  <c r="BD14" i="1"/>
  <c r="BC17" i="1"/>
  <c r="BD21" i="1"/>
  <c r="AY17" i="1"/>
  <c r="O10" i="4" s="1"/>
  <c r="P10" i="4" s="1"/>
  <c r="N10" i="4"/>
  <c r="M14" i="4" s="1"/>
  <c r="BD4" i="1"/>
  <c r="BD6" i="1"/>
  <c r="BD16" i="1"/>
  <c r="BD8" i="1"/>
  <c r="Q11" i="7" s="1"/>
  <c r="BD20" i="1"/>
  <c r="BD13" i="1"/>
  <c r="BD5" i="1"/>
  <c r="BD12" i="1"/>
  <c r="BD9" i="1"/>
  <c r="AZ18" i="1"/>
  <c r="BD7" i="1"/>
  <c r="BD10" i="1"/>
  <c r="BD11" i="1"/>
  <c r="AZ19" i="1"/>
  <c r="AZ10" i="1"/>
  <c r="M11" i="4" s="1"/>
  <c r="BD19" i="1"/>
  <c r="BD18" i="1"/>
  <c r="AZ9" i="1"/>
  <c r="AZ4" i="1"/>
  <c r="AZ16" i="1"/>
  <c r="AZ8" i="1"/>
  <c r="Q10" i="7" s="1"/>
  <c r="AZ22" i="1"/>
  <c r="AZ15" i="1"/>
  <c r="AZ7" i="1"/>
  <c r="AZ21" i="1"/>
  <c r="AZ14" i="1"/>
  <c r="AZ6" i="1"/>
  <c r="AZ20" i="1"/>
  <c r="AZ13" i="1"/>
  <c r="AZ5" i="1"/>
  <c r="AZ12" i="1"/>
  <c r="AZ11" i="1"/>
  <c r="P14" i="7" l="1"/>
  <c r="Q14" i="7" s="1"/>
  <c r="R14" i="7" s="1"/>
  <c r="O11" i="4"/>
  <c r="P11" i="4" s="1"/>
  <c r="N11" i="4"/>
  <c r="N14" i="4" s="1"/>
  <c r="Q22" i="1"/>
  <c r="Q15" i="1"/>
  <c r="Q14" i="1"/>
  <c r="Q21" i="1"/>
  <c r="Q6" i="1"/>
  <c r="Q4" i="1"/>
  <c r="Q12" i="1"/>
  <c r="AZ17" i="1"/>
  <c r="BD17" i="1"/>
  <c r="Q11" i="4" s="1"/>
  <c r="Q20" i="1"/>
  <c r="Q7" i="1"/>
  <c r="Q5" i="1"/>
  <c r="Q13" i="1"/>
  <c r="Q8" i="1"/>
  <c r="Q16" i="1"/>
  <c r="Q9" i="1"/>
  <c r="Q10" i="1"/>
  <c r="Q18" i="1"/>
  <c r="Q11" i="1"/>
  <c r="Q19" i="1"/>
  <c r="Q17" i="1" l="1"/>
  <c r="S52" i="6" s="1"/>
  <c r="T52" i="6" s="1"/>
  <c r="U52" i="6" s="1"/>
  <c r="Q10" i="4"/>
  <c r="P14" i="4" s="1"/>
  <c r="Q14" i="4" s="1"/>
  <c r="R14" i="4" s="1"/>
  <c r="D9" i="4"/>
  <c r="I9" i="4"/>
  <c r="E35" i="4" l="1"/>
  <c r="AQ18" i="1"/>
  <c r="AR18" i="1" s="1"/>
  <c r="AQ17" i="1"/>
  <c r="AR17" i="1" s="1"/>
  <c r="AI17" i="1"/>
  <c r="AJ17" i="1" s="1"/>
  <c r="AM17" i="1"/>
  <c r="AN17" i="1" s="1"/>
  <c r="AI19" i="1"/>
  <c r="AI20" i="1"/>
  <c r="AI21" i="1"/>
  <c r="AI22" i="1"/>
  <c r="AI18" i="1"/>
  <c r="AJ18" i="1" s="1"/>
  <c r="AI5" i="1"/>
  <c r="AJ5" i="1" s="1"/>
  <c r="AI6" i="1"/>
  <c r="AJ6" i="1" s="1"/>
  <c r="AI7" i="1"/>
  <c r="AJ7" i="1" s="1"/>
  <c r="AI8" i="1"/>
  <c r="AJ8" i="1" s="1"/>
  <c r="AI9" i="1"/>
  <c r="AJ9" i="1" s="1"/>
  <c r="AI10" i="1"/>
  <c r="AI11" i="1"/>
  <c r="AJ11" i="1" s="1"/>
  <c r="AI12" i="1"/>
  <c r="AJ12" i="1" s="1"/>
  <c r="AI13" i="1"/>
  <c r="AJ13" i="1" s="1"/>
  <c r="AI14" i="1"/>
  <c r="AJ14" i="1" s="1"/>
  <c r="AI15" i="1"/>
  <c r="AJ15" i="1" s="1"/>
  <c r="AI16" i="1"/>
  <c r="AJ16" i="1" s="1"/>
  <c r="AI4" i="1"/>
  <c r="AJ4" i="1" s="1"/>
  <c r="AM19" i="1"/>
  <c r="AM20" i="1"/>
  <c r="AM21" i="1"/>
  <c r="AM22" i="1"/>
  <c r="AM18" i="1"/>
  <c r="AN18" i="1" s="1"/>
  <c r="AM5" i="1"/>
  <c r="AN5" i="1" s="1"/>
  <c r="AM6" i="1"/>
  <c r="AN6" i="1" s="1"/>
  <c r="AM7" i="1"/>
  <c r="AN7" i="1" s="1"/>
  <c r="AM8" i="1"/>
  <c r="AM9" i="1"/>
  <c r="AN9" i="1" s="1"/>
  <c r="AM10" i="1"/>
  <c r="AM11" i="1"/>
  <c r="AN11" i="1" s="1"/>
  <c r="AM12" i="1"/>
  <c r="AN12" i="1" s="1"/>
  <c r="AM13" i="1"/>
  <c r="AN13" i="1" s="1"/>
  <c r="AM14" i="1"/>
  <c r="AN14" i="1" s="1"/>
  <c r="AM15" i="1"/>
  <c r="AN15" i="1" s="1"/>
  <c r="AM16" i="1"/>
  <c r="AN16" i="1" s="1"/>
  <c r="AM4" i="1"/>
  <c r="AN4" i="1" s="1"/>
  <c r="AQ5" i="1"/>
  <c r="AR5" i="1" s="1"/>
  <c r="AQ6" i="1"/>
  <c r="AR6" i="1" s="1"/>
  <c r="AQ7" i="1"/>
  <c r="AR7" i="1" s="1"/>
  <c r="AQ8" i="1"/>
  <c r="AR8" i="1" s="1"/>
  <c r="AQ9" i="1"/>
  <c r="AR9" i="1" s="1"/>
  <c r="AQ10" i="1"/>
  <c r="AQ11" i="1"/>
  <c r="AR11" i="1" s="1"/>
  <c r="AQ12" i="1"/>
  <c r="AR12" i="1" s="1"/>
  <c r="AQ13" i="1"/>
  <c r="AR13" i="1" s="1"/>
  <c r="AQ14" i="1"/>
  <c r="AR14" i="1" s="1"/>
  <c r="AQ15" i="1"/>
  <c r="AR15" i="1" s="1"/>
  <c r="AQ16" i="1"/>
  <c r="AR16" i="1" s="1"/>
  <c r="AQ19" i="1"/>
  <c r="AQ4" i="1"/>
  <c r="AR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R20" i="1"/>
  <c r="R21" i="1"/>
  <c r="R22" i="1"/>
  <c r="R4" i="1"/>
  <c r="S4" i="1" s="1"/>
  <c r="J5" i="1"/>
  <c r="K5" i="1" s="1"/>
  <c r="J6" i="1"/>
  <c r="K6" i="1" s="1"/>
  <c r="J7" i="1"/>
  <c r="K7" i="1" s="1"/>
  <c r="J8" i="1"/>
  <c r="J9" i="1"/>
  <c r="K9" i="1" s="1"/>
  <c r="J10" i="1"/>
  <c r="J11" i="1"/>
  <c r="K11" i="1" s="1"/>
  <c r="J12" i="1"/>
  <c r="K12" i="1" s="1"/>
  <c r="J13" i="1"/>
  <c r="K13" i="1" s="1"/>
  <c r="J14" i="1"/>
  <c r="K14" i="1" s="1"/>
  <c r="J15" i="1"/>
  <c r="K15" i="1" s="1"/>
  <c r="J16" i="1"/>
  <c r="K16" i="1" s="1"/>
  <c r="J17" i="1"/>
  <c r="K17" i="1" s="1"/>
  <c r="J4" i="1"/>
  <c r="K4" i="1" s="1"/>
  <c r="F5" i="1"/>
  <c r="G5" i="1" s="1"/>
  <c r="F6" i="1"/>
  <c r="G6" i="1" s="1"/>
  <c r="F7" i="1"/>
  <c r="G7" i="1" s="1"/>
  <c r="F8" i="1"/>
  <c r="F9" i="1"/>
  <c r="G9" i="1" s="1"/>
  <c r="F10" i="1"/>
  <c r="F11" i="1"/>
  <c r="G11" i="1" s="1"/>
  <c r="F12" i="1"/>
  <c r="G12" i="1" s="1"/>
  <c r="F13" i="1"/>
  <c r="G13" i="1" s="1"/>
  <c r="F14" i="1"/>
  <c r="G14" i="1" s="1"/>
  <c r="F15" i="1"/>
  <c r="G15" i="1" s="1"/>
  <c r="F16" i="1"/>
  <c r="G16" i="1" s="1"/>
  <c r="F17" i="1"/>
  <c r="G17" i="1" s="1"/>
  <c r="F4" i="1"/>
  <c r="G4" i="1" s="1"/>
  <c r="AN8" i="1" l="1"/>
  <c r="M35" i="7"/>
  <c r="N35" i="7" s="1"/>
  <c r="K8" i="1"/>
  <c r="J9" i="7"/>
  <c r="K9" i="7" s="1"/>
  <c r="G8" i="1"/>
  <c r="E9" i="7"/>
  <c r="F9" i="7" s="1"/>
  <c r="BE18" i="1"/>
  <c r="BE4" i="1"/>
  <c r="BE15" i="1"/>
  <c r="BE6" i="1"/>
  <c r="BE17" i="1"/>
  <c r="BE5" i="1"/>
  <c r="BE16" i="1"/>
  <c r="K35" i="4"/>
  <c r="AJ10" i="1"/>
  <c r="R35" i="4"/>
  <c r="AN10" i="1"/>
  <c r="S35" i="4"/>
  <c r="T35" i="4" s="1"/>
  <c r="AR10" i="1"/>
  <c r="BE12" i="1"/>
  <c r="BE11" i="1"/>
  <c r="D72" i="2" s="1"/>
  <c r="E72" i="2" s="1"/>
  <c r="J9" i="4"/>
  <c r="K9" i="4" s="1"/>
  <c r="K10" i="1"/>
  <c r="BE9" i="1"/>
  <c r="BE14" i="1"/>
  <c r="E9" i="4"/>
  <c r="F9" i="4" s="1"/>
  <c r="G10" i="1"/>
  <c r="BE13" i="1"/>
  <c r="BE7" i="1"/>
  <c r="L35" i="4"/>
  <c r="F35" i="4"/>
  <c r="G35" i="4" s="1"/>
  <c r="M35" i="4"/>
  <c r="N35" i="4" s="1"/>
  <c r="Q35" i="4"/>
  <c r="BE8" i="1" l="1"/>
  <c r="W34" i="7" s="1"/>
  <c r="D73" i="2"/>
  <c r="D76" i="2" s="1"/>
  <c r="E76" i="2" s="1"/>
  <c r="BE10" i="1"/>
  <c r="D71" i="2" s="1"/>
  <c r="E71" i="2" s="1"/>
  <c r="V34" i="4" l="1"/>
  <c r="W34" i="4" s="1"/>
  <c r="E73" i="2"/>
  <c r="O75" i="6"/>
</calcChain>
</file>

<file path=xl/sharedStrings.xml><?xml version="1.0" encoding="utf-8"?>
<sst xmlns="http://schemas.openxmlformats.org/spreadsheetml/2006/main" count="1724" uniqueCount="263">
  <si>
    <t>PNM</t>
  </si>
  <si>
    <t>Target</t>
  </si>
  <si>
    <t>Real</t>
  </si>
  <si>
    <t>%Ach</t>
  </si>
  <si>
    <t>Diff</t>
  </si>
  <si>
    <t>NRC Implementation Plan</t>
  </si>
  <si>
    <t>CSI</t>
  </si>
  <si>
    <t>SSI</t>
  </si>
  <si>
    <t>Campaign</t>
  </si>
  <si>
    <t>TR Sales</t>
  </si>
  <si>
    <t>Status</t>
  </si>
  <si>
    <t>TR AS</t>
  </si>
  <si>
    <t>Sales</t>
  </si>
  <si>
    <t>Aftersales</t>
  </si>
  <si>
    <t>TR Real</t>
  </si>
  <si>
    <t>Training</t>
  </si>
  <si>
    <t>In Progress</t>
  </si>
  <si>
    <t>No Startet</t>
  </si>
  <si>
    <t>Completed</t>
  </si>
  <si>
    <t>Lead Management (From Leads to Closing)</t>
  </si>
  <si>
    <t>Share of Invesment</t>
  </si>
  <si>
    <t>360 Game Plan</t>
  </si>
  <si>
    <t>Declare Quarterly Top 5 Competitors + Nissan</t>
  </si>
  <si>
    <t>Q2 | 100%</t>
  </si>
  <si>
    <t>Declare Quarterly According to Template Format</t>
  </si>
  <si>
    <t>Sell In</t>
  </si>
  <si>
    <t>Retention</t>
  </si>
  <si>
    <t>RS</t>
  </si>
  <si>
    <t>TRD</t>
  </si>
  <si>
    <t>R9</t>
  </si>
  <si>
    <t>fotos de PRG</t>
  </si>
  <si>
    <t xml:space="preserve">ALTO COMPROMISO </t>
  </si>
  <si>
    <t>Priority</t>
  </si>
  <si>
    <t>Market</t>
  </si>
  <si>
    <t>Real CSI</t>
  </si>
  <si>
    <t>%Ach. CSI</t>
  </si>
  <si>
    <t>pts CSI</t>
  </si>
  <si>
    <t>Real SSI</t>
  </si>
  <si>
    <t>%Ach. SSI</t>
  </si>
  <si>
    <t>pts SSI</t>
  </si>
  <si>
    <t>NRC Implementation</t>
  </si>
  <si>
    <t>Status NRC</t>
  </si>
  <si>
    <t>%Ach. NRC</t>
  </si>
  <si>
    <t>pts NRC</t>
  </si>
  <si>
    <t>Trainin (Compliance %)</t>
  </si>
  <si>
    <t>Real TR</t>
  </si>
  <si>
    <t>%Ach. TR</t>
  </si>
  <si>
    <t>pts TR</t>
  </si>
  <si>
    <t>Service Campaing</t>
  </si>
  <si>
    <t>Real SC</t>
  </si>
  <si>
    <t>%Ach. SC</t>
  </si>
  <si>
    <t>pts SC</t>
  </si>
  <si>
    <t>Lead Management</t>
  </si>
  <si>
    <t>%Ach. Lead Mang.</t>
  </si>
  <si>
    <t>pts Lead</t>
  </si>
  <si>
    <t>Share of Investment</t>
  </si>
  <si>
    <t>%Ach. SOI</t>
  </si>
  <si>
    <t>pts SOI</t>
  </si>
  <si>
    <t>% Ach. 360</t>
  </si>
  <si>
    <t>pts 360</t>
  </si>
  <si>
    <t>Sell In (USD)</t>
  </si>
  <si>
    <t>Real Sell In</t>
  </si>
  <si>
    <t>%Ach. Sell In</t>
  </si>
  <si>
    <t>pts Sell In</t>
  </si>
  <si>
    <t>Real Retention</t>
  </si>
  <si>
    <t>%Ach. Retention</t>
  </si>
  <si>
    <t>pts Retention</t>
  </si>
  <si>
    <t>Retail Sales</t>
  </si>
  <si>
    <t>Real RS</t>
  </si>
  <si>
    <t>%Ach. RS</t>
  </si>
  <si>
    <t>pts RS</t>
  </si>
  <si>
    <t>RR CSI</t>
  </si>
  <si>
    <t>RR SSI</t>
  </si>
  <si>
    <t>TTT Sales</t>
  </si>
  <si>
    <t>TTT Tech Level</t>
  </si>
  <si>
    <t>Real TR Sales</t>
  </si>
  <si>
    <t>%Ach. TR Sales</t>
  </si>
  <si>
    <t>pts TR Sales</t>
  </si>
  <si>
    <t>Real TR AS</t>
  </si>
  <si>
    <t>%Ach. TR AS</t>
  </si>
  <si>
    <t>pts TR AS</t>
  </si>
  <si>
    <t>Total</t>
  </si>
  <si>
    <t>6 MAIN</t>
  </si>
  <si>
    <t>COL</t>
  </si>
  <si>
    <t>NRC Plan FY25-FY26, signed in Q1 FY25</t>
  </si>
  <si>
    <t>Signed</t>
  </si>
  <si>
    <t>&gt; All Channels (Phisicals and Digitals)
&gt; Per model
&gt; Per month FCST (1 week before starting N month)
&gt; Per month Results (1 week after N month closure)</t>
  </si>
  <si>
    <t>Q2</t>
  </si>
  <si>
    <t>Q3</t>
  </si>
  <si>
    <t>PLT</t>
  </si>
  <si>
    <t>WIP</t>
  </si>
  <si>
    <t>CST</t>
  </si>
  <si>
    <t>ECA</t>
  </si>
  <si>
    <t>Dealer Network Plan Proposal Approved by NIBU - Q3</t>
  </si>
  <si>
    <t>URU</t>
  </si>
  <si>
    <t>NO MAIN</t>
  </si>
  <si>
    <t>ELS</t>
  </si>
  <si>
    <t>HND</t>
  </si>
  <si>
    <t>NIC</t>
  </si>
  <si>
    <t>DOM</t>
  </si>
  <si>
    <t>GUT</t>
  </si>
  <si>
    <t>NA</t>
  </si>
  <si>
    <t>PRG</t>
  </si>
  <si>
    <t>BOL</t>
  </si>
  <si>
    <t>RHD</t>
  </si>
  <si>
    <t>MASSY</t>
  </si>
  <si>
    <t>GEL</t>
  </si>
  <si>
    <t>-</t>
  </si>
  <si>
    <t>No Annual Plan</t>
  </si>
  <si>
    <t>HIT</t>
  </si>
  <si>
    <t>ALB</t>
  </si>
  <si>
    <t>BLZ</t>
  </si>
  <si>
    <t>CUR</t>
  </si>
  <si>
    <t>CUSTOMER EXPERIENCE</t>
  </si>
  <si>
    <t>BRAND POWER</t>
  </si>
  <si>
    <t>SUSTAINABLE GROWTH</t>
  </si>
  <si>
    <t>BDM</t>
  </si>
  <si>
    <t>RAM</t>
  </si>
  <si>
    <t>Wilson Rincon</t>
  </si>
  <si>
    <t>Eduardo Trabado</t>
  </si>
  <si>
    <t>Diego Suarez</t>
  </si>
  <si>
    <t>Salvador Alvarez</t>
  </si>
  <si>
    <t>Tomas Arias</t>
  </si>
  <si>
    <t>Alberto Saldaña</t>
  </si>
  <si>
    <t>Jessica Vargas</t>
  </si>
  <si>
    <t>Pablo Brito</t>
  </si>
  <si>
    <t>Lead Managament</t>
  </si>
  <si>
    <t>NSC</t>
  </si>
  <si>
    <t>APR</t>
  </si>
  <si>
    <t>MAY</t>
  </si>
  <si>
    <t>JUN</t>
  </si>
  <si>
    <t>JUL</t>
  </si>
  <si>
    <t>AUG</t>
  </si>
  <si>
    <t>SEP</t>
  </si>
  <si>
    <t>OCT</t>
  </si>
  <si>
    <t>NOV</t>
  </si>
  <si>
    <t>DEC</t>
  </si>
  <si>
    <t>JAN</t>
  </si>
  <si>
    <t>FEB</t>
  </si>
  <si>
    <t>MAR</t>
  </si>
  <si>
    <t>TOTAL</t>
  </si>
  <si>
    <t>Mayo</t>
  </si>
  <si>
    <t>Junio</t>
  </si>
  <si>
    <t>Julio</t>
  </si>
  <si>
    <t>Agosto</t>
  </si>
  <si>
    <t>Septiembre</t>
  </si>
  <si>
    <t>Octubre</t>
  </si>
  <si>
    <t>Noviembre</t>
  </si>
  <si>
    <t>Diciembre</t>
  </si>
  <si>
    <t>Enero</t>
  </si>
  <si>
    <t>Febrero</t>
  </si>
  <si>
    <t>Marzo</t>
  </si>
  <si>
    <t>Q1</t>
  </si>
  <si>
    <t>Q4</t>
  </si>
  <si>
    <t>MON</t>
  </si>
  <si>
    <t>JUNE</t>
  </si>
  <si>
    <t>JULY</t>
  </si>
  <si>
    <t>AUGUST</t>
  </si>
  <si>
    <t>SEPTEMBER</t>
  </si>
  <si>
    <t>OCTOBER</t>
  </si>
  <si>
    <t>NOVEMBER</t>
  </si>
  <si>
    <t>DECEMBER</t>
  </si>
  <si>
    <t>JANUARY</t>
  </si>
  <si>
    <t>FEBRUARY</t>
  </si>
  <si>
    <t>MARCH</t>
  </si>
  <si>
    <t>RES MAY | FCST JUN</t>
  </si>
  <si>
    <t>RES JUN| FCST JUL</t>
  </si>
  <si>
    <t>RES JUL | FCST AUG</t>
  </si>
  <si>
    <t>RES AUG | FCST SEP</t>
  </si>
  <si>
    <t>RES SEP | FCST OCT</t>
  </si>
  <si>
    <t>RES OCT | FCST NOV</t>
  </si>
  <si>
    <t>RES NOV | FCST DEC</t>
  </si>
  <si>
    <t>RES DEC | FCST JAN</t>
  </si>
  <si>
    <t>RES JAN | FCST FEB</t>
  </si>
  <si>
    <t>RES FEB | FCST MAR</t>
  </si>
  <si>
    <t>ANT</t>
  </si>
  <si>
    <t>BAR</t>
  </si>
  <si>
    <t>BEM</t>
  </si>
  <si>
    <t>BHM</t>
  </si>
  <si>
    <t>DMT</t>
  </si>
  <si>
    <t>Gel</t>
  </si>
  <si>
    <t>GRN</t>
  </si>
  <si>
    <t>GUI</t>
  </si>
  <si>
    <t>JAM</t>
  </si>
  <si>
    <t>SRI</t>
  </si>
  <si>
    <t>STK</t>
  </si>
  <si>
    <t>STL</t>
  </si>
  <si>
    <t>STM</t>
  </si>
  <si>
    <t>STV</t>
  </si>
  <si>
    <t>Massy</t>
  </si>
  <si>
    <t>TRAINING</t>
  </si>
  <si>
    <t>JULIO</t>
  </si>
  <si>
    <t>Mercado</t>
  </si>
  <si>
    <t>AS</t>
  </si>
  <si>
    <t>ANTIGUA (DIS25D07)</t>
  </si>
  <si>
    <t>ARUBA (DIS25D17)</t>
  </si>
  <si>
    <t>BAHAMAS (DIS25D13)</t>
  </si>
  <si>
    <t>BARBADOS (DIS25D04)</t>
  </si>
  <si>
    <t>BELIZE (DIS25D18)</t>
  </si>
  <si>
    <t>BER</t>
  </si>
  <si>
    <t>BERMUDA (DIS25D11)</t>
  </si>
  <si>
    <t>Bolivia</t>
  </si>
  <si>
    <t>Colombia</t>
  </si>
  <si>
    <t>Costa Rica</t>
  </si>
  <si>
    <t>CURAZAO (DIS25D14)</t>
  </si>
  <si>
    <t>DOMINICA (DIS25D12)</t>
  </si>
  <si>
    <t>Ecuador</t>
  </si>
  <si>
    <t>El Salvador</t>
  </si>
  <si>
    <t>GRENADA (DIS25D08)</t>
  </si>
  <si>
    <t>Guatemala</t>
  </si>
  <si>
    <t>GUYANA (DIS25D15)</t>
  </si>
  <si>
    <t>HAITI (DIS25D03)</t>
  </si>
  <si>
    <t>Honduras</t>
  </si>
  <si>
    <t>JAMAICA (DIS25D02)</t>
  </si>
  <si>
    <t>Puerto Rico</t>
  </si>
  <si>
    <t>Nicaragua</t>
  </si>
  <si>
    <t>Panama</t>
  </si>
  <si>
    <t>Paraguay</t>
  </si>
  <si>
    <t>República Dominicana</t>
  </si>
  <si>
    <t>ST KITTS (DIS25D09)</t>
  </si>
  <si>
    <t>ST LUCIA (DIS25D05)</t>
  </si>
  <si>
    <t>SURINAME (DIS25D10)</t>
  </si>
  <si>
    <t>TRINIDAD Y TOBAGO (DIS25D01)</t>
  </si>
  <si>
    <t>Uruguay</t>
  </si>
  <si>
    <t>SATISFACTION</t>
  </si>
  <si>
    <t>AFTERSALES</t>
  </si>
  <si>
    <t>Total Repair Orders</t>
  </si>
  <si>
    <t>UIO</t>
  </si>
  <si>
    <t xml:space="preserve"> Sell-In Real</t>
  </si>
  <si>
    <t>Service Frequency Real</t>
  </si>
  <si>
    <t>Sell-In</t>
  </si>
  <si>
    <t>Service Frequency</t>
  </si>
  <si>
    <t xml:space="preserve"> -   </t>
  </si>
  <si>
    <t>Service Campaign</t>
  </si>
  <si>
    <t>Code</t>
  </si>
  <si>
    <t>Ventas</t>
  </si>
  <si>
    <t>Posventa</t>
  </si>
  <si>
    <t>Total Sell-In</t>
  </si>
  <si>
    <t>Total Sell-Out</t>
  </si>
  <si>
    <t>Lead Management (From Leads to Closing) [5%]</t>
  </si>
  <si>
    <t>Lead Management (From Leads to Closing) [5%]
&gt; All Channels (Phisicals and Digitals)
&gt; Per model
&gt; Per month FCST (1 week before starting N month)
&gt; Per month Results (1 week after N month closure)</t>
  </si>
  <si>
    <t>&gt; Declare quarterly Top 5 competitors + Nissan</t>
  </si>
  <si>
    <t>360 Game Plan [7%]
&gt; Quarterly declare according to template format</t>
  </si>
  <si>
    <t>&gt; All Channels (Phisicals and Digitals)</t>
  </si>
  <si>
    <t>&gt; Per model</t>
  </si>
  <si>
    <t>&gt; Per month FCST (1 week before starting N month)</t>
  </si>
  <si>
    <t>&gt; Per month Results (1 week after N month closure)</t>
  </si>
  <si>
    <t>Share of Investment [3%]</t>
  </si>
  <si>
    <t>360 Game Plan [7%]</t>
  </si>
  <si>
    <t>&gt; Quarterly declare according to template format</t>
  </si>
  <si>
    <t>OR</t>
  </si>
  <si>
    <t>GEL GROUP</t>
  </si>
  <si>
    <t>MASSY GROUP</t>
  </si>
  <si>
    <t>PUERTO RICO</t>
  </si>
  <si>
    <t>target</t>
  </si>
  <si>
    <t>real</t>
  </si>
  <si>
    <t>Month</t>
  </si>
  <si>
    <t>Training e-Learning Completion</t>
  </si>
  <si>
    <t>Real AS</t>
  </si>
  <si>
    <t>Real Sales</t>
  </si>
  <si>
    <t>accum.</t>
  </si>
  <si>
    <t>Montly Report</t>
  </si>
  <si>
    <t>NRC-IMP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</si>
</sst>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_(&quot;$&quot;* #,##0.00_);_(&quot;$&quot;* \(#,##0.00\);_(&quot;$&quot;* &quot;-&quot;??_);_(@_)"/>
    <numFmt numFmtId="166" formatCode="0.0%"/>
    <numFmt numFmtId="167" formatCode="0.00,,\M"/>
    <numFmt numFmtId="168" formatCode="_(* #,##0_);_(* \(#,##0\);_(* &quot;-&quot;??_);_(@_)"/>
    <numFmt numFmtId="169" formatCode="0.0"/>
  </numFmts>
  <fonts count="32">
    <font>
      <sz val="11"/>
      <color theme="1"/>
      <name val="Aptos Narrow"/>
      <family val="2"/>
      <scheme val="minor"/>
    </font>
    <font>
      <sz val="11"/>
      <color theme="1"/>
      <name val="Aptos Narrow"/>
      <family val="2"/>
      <scheme val="minor"/>
    </font>
    <font>
      <b/>
      <sz val="11"/>
      <color rgb="FF000000"/>
      <name val="Calibri"/>
      <family val="2"/>
    </font>
    <font>
      <sz val="11"/>
      <color rgb="FF000000"/>
      <name val="Calibri"/>
      <family val="2"/>
    </font>
    <font>
      <sz val="9"/>
      <color rgb="FF000000"/>
      <name val="Calibri"/>
      <family val="2"/>
    </font>
    <font>
      <sz val="8"/>
      <name val="Aptos Narrow"/>
      <family val="2"/>
      <scheme val="minor"/>
    </font>
    <font>
      <b/>
      <sz val="9"/>
      <color rgb="FFFFFFFF"/>
      <name val="Calibri"/>
      <family val="2"/>
    </font>
    <font>
      <sz val="11"/>
      <color theme="1"/>
      <name val="Calibri"/>
      <family val="2"/>
    </font>
    <font>
      <sz val="11"/>
      <color rgb="FF9C0006"/>
      <name val="Calibri"/>
      <family val="2"/>
    </font>
    <font>
      <sz val="11"/>
      <color rgb="FF000000"/>
      <name val="Aptos Narrow"/>
      <family val="2"/>
      <scheme val="minor"/>
    </font>
    <font>
      <sz val="11"/>
      <name val="Aptos Narrow"/>
      <family val="2"/>
      <scheme val="minor"/>
    </font>
    <font>
      <b/>
      <sz val="11"/>
      <color theme="1"/>
      <name val="Calibri"/>
      <family val="2"/>
    </font>
    <font>
      <sz val="11"/>
      <color theme="0"/>
      <name val="Calibri"/>
      <family val="2"/>
    </font>
    <font>
      <sz val="11"/>
      <name val="Calibri"/>
      <family val="2"/>
    </font>
    <font>
      <sz val="14"/>
      <color theme="1"/>
      <name val="Tahoma"/>
      <family val="2"/>
    </font>
    <font>
      <sz val="36"/>
      <color rgb="FFC00000"/>
      <name val="Nissan Brand Bold"/>
      <family val="2"/>
    </font>
    <font>
      <sz val="14"/>
      <color theme="1"/>
      <name val="Calibri"/>
      <family val="2"/>
    </font>
    <font>
      <b/>
      <sz val="14"/>
      <color theme="1"/>
      <name val="Calibri"/>
      <family val="2"/>
    </font>
    <font>
      <sz val="28"/>
      <color rgb="FFC00000"/>
      <name val="Nissan Brand Bold"/>
      <family val="2"/>
    </font>
    <font>
      <sz val="10"/>
      <color theme="1"/>
      <name val="Calibri"/>
      <family val="2"/>
    </font>
    <font>
      <b/>
      <sz val="14"/>
      <color theme="0"/>
      <name val="Calibri"/>
      <family val="2"/>
    </font>
    <font>
      <b/>
      <sz val="11"/>
      <name val="Calibri"/>
      <family val="2"/>
    </font>
    <font>
      <b/>
      <sz val="13"/>
      <color theme="0"/>
      <name val="Calibri"/>
      <family val="2"/>
    </font>
    <font>
      <sz val="9"/>
      <color theme="1"/>
      <name val="Calibri"/>
      <family val="2"/>
    </font>
    <font>
      <sz val="6"/>
      <color theme="1"/>
      <name val="Calibri"/>
      <family val="2"/>
    </font>
    <font>
      <sz val="16"/>
      <color theme="1"/>
      <name val="Calibri"/>
      <family val="2"/>
    </font>
    <font>
      <sz val="11"/>
      <color rgb="FFFF0000"/>
      <name val="Calibri"/>
      <family val="2"/>
    </font>
    <font>
      <sz val="11"/>
      <color theme="0"/>
      <name val="Aptos Narrow"/>
      <family val="2"/>
      <scheme val="minor"/>
    </font>
    <font>
      <b/>
      <sz val="10"/>
      <color theme="1"/>
      <name val="Calibri"/>
      <family val="2"/>
    </font>
    <font>
      <b/>
      <sz val="9"/>
      <color theme="1"/>
      <name val="Calibri"/>
      <family val="2"/>
    </font>
    <font>
      <sz val="12"/>
      <color theme="1"/>
      <name val="Calibri"/>
      <family val="2"/>
    </font>
    <font>
      <sz val="16"/>
      <color theme="0"/>
      <name val="Calibri"/>
      <family val="2"/>
    </font>
  </fonts>
  <fills count="51">
    <fill>
      <patternFill patternType="none"/>
    </fill>
    <fill>
      <patternFill patternType="gray125"/>
    </fill>
    <fill>
      <patternFill patternType="solid">
        <fgColor rgb="FFB4C6E7"/>
        <bgColor rgb="FF000000"/>
      </patternFill>
    </fill>
    <fill>
      <patternFill patternType="solid">
        <fgColor rgb="FF92D050"/>
        <bgColor rgb="FF000000"/>
      </patternFill>
    </fill>
    <fill>
      <patternFill patternType="solid">
        <fgColor rgb="FF0D0D0D"/>
        <bgColor rgb="FF000000"/>
      </patternFill>
    </fill>
    <fill>
      <patternFill patternType="solid">
        <fgColor rgb="FFD9D9D9"/>
        <bgColor rgb="FF000000"/>
      </patternFill>
    </fill>
    <fill>
      <patternFill patternType="solid">
        <fgColor rgb="FFFFD966"/>
        <bgColor rgb="FF000000"/>
      </patternFill>
    </fill>
    <fill>
      <patternFill patternType="solid">
        <fgColor rgb="FFFFC7CE"/>
        <bgColor rgb="FF000000"/>
      </patternFill>
    </fill>
    <fill>
      <patternFill patternType="solid">
        <fgColor rgb="FFD6DCE4"/>
        <bgColor rgb="FF000000"/>
      </patternFill>
    </fill>
    <fill>
      <patternFill patternType="solid">
        <fgColor rgb="FFFFC000"/>
        <bgColor indexed="64"/>
      </patternFill>
    </fill>
    <fill>
      <patternFill patternType="solid">
        <fgColor theme="0" tint="-0.14999847407452621"/>
        <bgColor indexed="64"/>
      </patternFill>
    </fill>
    <fill>
      <patternFill patternType="solid">
        <fgColor rgb="FF9AD254"/>
        <bgColor rgb="FF000000"/>
      </patternFill>
    </fill>
    <fill>
      <patternFill patternType="solid">
        <fgColor rgb="FFACD75D"/>
        <bgColor rgb="FF000000"/>
      </patternFill>
    </fill>
    <fill>
      <patternFill patternType="solid">
        <fgColor rgb="FFFF0000"/>
        <bgColor rgb="FF000000"/>
      </patternFill>
    </fill>
    <fill>
      <patternFill patternType="solid">
        <fgColor rgb="FF95D152"/>
        <bgColor rgb="FF000000"/>
      </patternFill>
    </fill>
    <fill>
      <patternFill patternType="solid">
        <fgColor rgb="FFB6D961"/>
        <bgColor rgb="FF000000"/>
      </patternFill>
    </fill>
    <fill>
      <patternFill patternType="solid">
        <fgColor rgb="FFD1E06E"/>
        <bgColor rgb="FF000000"/>
      </patternFill>
    </fill>
    <fill>
      <patternFill patternType="solid">
        <fgColor rgb="FFFFDE7C"/>
        <bgColor rgb="FF000000"/>
      </patternFill>
    </fill>
    <fill>
      <patternFill patternType="solid">
        <fgColor rgb="FFFFA15A"/>
        <bgColor rgb="FF000000"/>
      </patternFill>
    </fill>
    <fill>
      <patternFill patternType="solid">
        <fgColor rgb="FFFF854A"/>
        <bgColor rgb="FF000000"/>
      </patternFill>
    </fill>
    <fill>
      <patternFill patternType="solid">
        <fgColor rgb="FFFF6036"/>
        <bgColor rgb="FF000000"/>
      </patternFill>
    </fill>
    <fill>
      <patternFill patternType="solid">
        <fgColor rgb="FFFF351E"/>
        <bgColor rgb="FF000000"/>
      </patternFill>
    </fill>
    <fill>
      <patternFill patternType="solid">
        <fgColor theme="0" tint="-0.249977111117893"/>
        <bgColor indexed="64"/>
      </patternFill>
    </fill>
    <fill>
      <patternFill patternType="solid">
        <fgColor rgb="FFF6F68E"/>
        <bgColor rgb="FF000000"/>
      </patternFill>
    </fill>
    <fill>
      <patternFill patternType="solid">
        <fgColor rgb="FF99D253"/>
        <bgColor rgb="FF000000"/>
      </patternFill>
    </fill>
    <fill>
      <patternFill patternType="solid">
        <fgColor rgb="FF9CD355"/>
        <bgColor rgb="FF000000"/>
      </patternFill>
    </fill>
    <fill>
      <patternFill patternType="solid">
        <fgColor rgb="FFA7D65A"/>
        <bgColor rgb="FF000000"/>
      </patternFill>
    </fill>
    <fill>
      <patternFill patternType="solid">
        <fgColor rgb="FFB6D962"/>
        <bgColor rgb="FF000000"/>
      </patternFill>
    </fill>
    <fill>
      <patternFill patternType="solid">
        <fgColor rgb="FFF2E87E"/>
        <bgColor rgb="FF000000"/>
      </patternFill>
    </fill>
    <fill>
      <patternFill patternType="solid">
        <fgColor rgb="FFFDEB83"/>
        <bgColor rgb="FF000000"/>
      </patternFill>
    </fill>
    <fill>
      <patternFill patternType="solid">
        <fgColor rgb="FF93D151"/>
        <bgColor rgb="FF000000"/>
      </patternFill>
    </fill>
    <fill>
      <patternFill patternType="solid">
        <fgColor rgb="FFA6D55A"/>
        <bgColor rgb="FF000000"/>
      </patternFill>
    </fill>
    <fill>
      <patternFill patternType="solid">
        <fgColor rgb="FFC3DC68"/>
        <bgColor rgb="FF000000"/>
      </patternFill>
    </fill>
    <fill>
      <patternFill patternType="solid">
        <fgColor rgb="FFB4D961"/>
        <bgColor rgb="FF000000"/>
      </patternFill>
    </fill>
    <fill>
      <patternFill patternType="solid">
        <fgColor rgb="FFFF874C"/>
        <bgColor rgb="FF000000"/>
      </patternFill>
    </fill>
    <fill>
      <patternFill patternType="solid">
        <fgColor rgb="FF9BD354"/>
        <bgColor rgb="FF000000"/>
      </patternFill>
    </fill>
    <fill>
      <patternFill patternType="solid">
        <fgColor theme="0" tint="-0.14999847407452621"/>
        <bgColor theme="0" tint="-0.14999847407452621"/>
      </patternFill>
    </fill>
    <fill>
      <patternFill patternType="solid">
        <fgColor theme="1"/>
        <bgColor indexed="64"/>
      </patternFill>
    </fill>
    <fill>
      <patternFill patternType="solid">
        <fgColor theme="0" tint="-4.9989318521683403E-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9"/>
        <bgColor indexed="64"/>
      </patternFill>
    </fill>
    <fill>
      <patternFill patternType="solid">
        <fgColor theme="1" tint="0.34998626667073579"/>
        <bgColor indexed="64"/>
      </patternFill>
    </fill>
    <fill>
      <patternFill patternType="solid">
        <fgColor theme="4"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medium">
        <color rgb="FFC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165" fontId="1" fillId="0" borderId="0" applyFont="0" applyFill="0" applyBorder="0" applyAlignment="0" applyProtection="0"/>
  </cellStyleXfs>
  <cellXfs count="353">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166" fontId="0" fillId="0" borderId="0" xfId="1" applyNumberFormat="1" applyFont="1" applyAlignment="1">
      <alignment horizontal="center" vertical="center"/>
    </xf>
    <xf numFmtId="165" fontId="0" fillId="0" borderId="0" xfId="2" applyFont="1"/>
    <xf numFmtId="0" fontId="4" fillId="5" borderId="5" xfId="0" applyFont="1" applyFill="1" applyBorder="1"/>
    <xf numFmtId="0" fontId="4" fillId="5" borderId="6" xfId="0" applyFont="1" applyFill="1" applyBorder="1"/>
    <xf numFmtId="3" fontId="4" fillId="0" borderId="5" xfId="0" applyNumberFormat="1" applyFont="1" applyBorder="1"/>
    <xf numFmtId="0" fontId="4" fillId="0" borderId="5" xfId="0" applyFont="1" applyBorder="1"/>
    <xf numFmtId="0" fontId="7" fillId="0" borderId="0" xfId="0" applyFont="1"/>
    <xf numFmtId="164" fontId="3" fillId="0" borderId="1" xfId="0" applyNumberFormat="1" applyFont="1" applyBorder="1" applyAlignment="1">
      <alignment horizontal="center" vertical="center"/>
    </xf>
    <xf numFmtId="0" fontId="2" fillId="6" borderId="2" xfId="0" applyFont="1" applyFill="1" applyBorder="1" applyAlignment="1">
      <alignment horizontal="center"/>
    </xf>
    <xf numFmtId="10" fontId="3" fillId="0" borderId="1" xfId="0" applyNumberFormat="1" applyFont="1" applyBorder="1"/>
    <xf numFmtId="10" fontId="8" fillId="7" borderId="1" xfId="0" applyNumberFormat="1" applyFont="1" applyFill="1" applyBorder="1"/>
    <xf numFmtId="0" fontId="2" fillId="8" borderId="2" xfId="0" applyFont="1" applyFill="1" applyBorder="1" applyAlignment="1">
      <alignment horizontal="center"/>
    </xf>
    <xf numFmtId="10" fontId="8" fillId="7" borderId="7" xfId="0" applyNumberFormat="1" applyFont="1" applyFill="1" applyBorder="1"/>
    <xf numFmtId="16" fontId="3" fillId="0" borderId="1" xfId="0" applyNumberFormat="1" applyFont="1" applyBorder="1" applyAlignment="1">
      <alignment horizontal="center" vertical="center"/>
    </xf>
    <xf numFmtId="9" fontId="3" fillId="0" borderId="1" xfId="0" applyNumberFormat="1" applyFont="1" applyBorder="1"/>
    <xf numFmtId="9" fontId="8" fillId="7" borderId="1" xfId="0" applyNumberFormat="1" applyFont="1" applyFill="1" applyBorder="1"/>
    <xf numFmtId="10" fontId="3" fillId="0" borderId="7" xfId="0" applyNumberFormat="1" applyFont="1" applyBorder="1"/>
    <xf numFmtId="0" fontId="0" fillId="9" borderId="1" xfId="0" applyFill="1" applyBorder="1" applyAlignment="1">
      <alignment horizontal="center" vertical="center"/>
    </xf>
    <xf numFmtId="0" fontId="9" fillId="0" borderId="1" xfId="0" applyFont="1" applyBorder="1"/>
    <xf numFmtId="0" fontId="9" fillId="0" borderId="1" xfId="0" applyFont="1" applyBorder="1" applyAlignment="1">
      <alignment horizontal="left"/>
    </xf>
    <xf numFmtId="0" fontId="9" fillId="0" borderId="0" xfId="0" applyFont="1"/>
    <xf numFmtId="10" fontId="9" fillId="3" borderId="1" xfId="0" applyNumberFormat="1" applyFont="1" applyFill="1" applyBorder="1" applyAlignment="1">
      <alignment horizontal="center"/>
    </xf>
    <xf numFmtId="10" fontId="9" fillId="11" borderId="1" xfId="0" applyNumberFormat="1" applyFont="1" applyFill="1" applyBorder="1" applyAlignment="1">
      <alignment horizontal="center"/>
    </xf>
    <xf numFmtId="10" fontId="9" fillId="12" borderId="1" xfId="0" applyNumberFormat="1" applyFont="1" applyFill="1" applyBorder="1" applyAlignment="1">
      <alignment horizontal="center"/>
    </xf>
    <xf numFmtId="10" fontId="9" fillId="13" borderId="1" xfId="0" applyNumberFormat="1" applyFont="1" applyFill="1" applyBorder="1" applyAlignment="1">
      <alignment horizontal="center"/>
    </xf>
    <xf numFmtId="0" fontId="9" fillId="0" borderId="0" xfId="0" applyFont="1" applyAlignment="1">
      <alignment horizontal="left"/>
    </xf>
    <xf numFmtId="9" fontId="9" fillId="3" borderId="0" xfId="0" applyNumberFormat="1" applyFont="1" applyFill="1"/>
    <xf numFmtId="10" fontId="9" fillId="14" borderId="1" xfId="0" applyNumberFormat="1" applyFont="1" applyFill="1" applyBorder="1" applyAlignment="1">
      <alignment horizontal="center"/>
    </xf>
    <xf numFmtId="10" fontId="9" fillId="15" borderId="1" xfId="0" applyNumberFormat="1" applyFont="1" applyFill="1" applyBorder="1" applyAlignment="1">
      <alignment horizontal="center"/>
    </xf>
    <xf numFmtId="10" fontId="9" fillId="16" borderId="1" xfId="0" applyNumberFormat="1" applyFont="1" applyFill="1" applyBorder="1" applyAlignment="1">
      <alignment horizontal="center"/>
    </xf>
    <xf numFmtId="10" fontId="9" fillId="17" borderId="1" xfId="0" applyNumberFormat="1" applyFont="1" applyFill="1" applyBorder="1" applyAlignment="1">
      <alignment horizontal="center"/>
    </xf>
    <xf numFmtId="10" fontId="9" fillId="18" borderId="1" xfId="0" applyNumberFormat="1" applyFont="1" applyFill="1" applyBorder="1" applyAlignment="1">
      <alignment horizontal="center"/>
    </xf>
    <xf numFmtId="10" fontId="9" fillId="19" borderId="1" xfId="0" applyNumberFormat="1" applyFont="1" applyFill="1" applyBorder="1" applyAlignment="1">
      <alignment horizontal="center"/>
    </xf>
    <xf numFmtId="10" fontId="9" fillId="20" borderId="1" xfId="0" applyNumberFormat="1" applyFont="1" applyFill="1" applyBorder="1" applyAlignment="1">
      <alignment horizontal="center"/>
    </xf>
    <xf numFmtId="10" fontId="9" fillId="21" borderId="1" xfId="0" applyNumberFormat="1" applyFont="1" applyFill="1" applyBorder="1" applyAlignment="1">
      <alignment horizontal="center"/>
    </xf>
    <xf numFmtId="10" fontId="9" fillId="0" borderId="1" xfId="0" applyNumberFormat="1" applyFont="1" applyBorder="1" applyAlignment="1">
      <alignment horizontal="center"/>
    </xf>
    <xf numFmtId="0" fontId="0" fillId="10" borderId="1" xfId="0" applyFill="1" applyBorder="1" applyAlignment="1">
      <alignment horizontal="center" vertical="center" wrapText="1"/>
    </xf>
    <xf numFmtId="0" fontId="0" fillId="10" borderId="1" xfId="0" applyFill="1" applyBorder="1" applyAlignment="1">
      <alignment horizontal="left" vertical="center" wrapText="1"/>
    </xf>
    <xf numFmtId="3" fontId="4" fillId="0" borderId="0" xfId="0" applyNumberFormat="1" applyFont="1"/>
    <xf numFmtId="165" fontId="0" fillId="0" borderId="8" xfId="2" applyFont="1" applyBorder="1"/>
    <xf numFmtId="3" fontId="3" fillId="0" borderId="1" xfId="0" applyNumberFormat="1" applyFont="1" applyBorder="1" applyAlignment="1">
      <alignment horizontal="center" vertical="center"/>
    </xf>
    <xf numFmtId="0" fontId="0" fillId="0" borderId="0" xfId="0" applyAlignment="1">
      <alignment horizontal="center" vertical="center"/>
    </xf>
    <xf numFmtId="10" fontId="0" fillId="0" borderId="0" xfId="0" applyNumberFormat="1"/>
    <xf numFmtId="166" fontId="0" fillId="0" borderId="0" xfId="0" applyNumberFormat="1"/>
    <xf numFmtId="0" fontId="2" fillId="8" borderId="0" xfId="0" applyFont="1" applyFill="1" applyAlignment="1">
      <alignment horizontal="center"/>
    </xf>
    <xf numFmtId="0" fontId="2" fillId="8" borderId="0" xfId="0" applyFont="1" applyFill="1" applyAlignment="1">
      <alignment horizontal="center" vertical="center"/>
    </xf>
    <xf numFmtId="2" fontId="0" fillId="0" borderId="0" xfId="0" applyNumberFormat="1"/>
    <xf numFmtId="9" fontId="0" fillId="0" borderId="0" xfId="0" applyNumberFormat="1"/>
    <xf numFmtId="0" fontId="0" fillId="0" borderId="0" xfId="0" applyAlignment="1">
      <alignment horizontal="right" vertical="center"/>
    </xf>
    <xf numFmtId="167" fontId="10" fillId="0" borderId="0" xfId="0" applyNumberFormat="1" applyFont="1"/>
    <xf numFmtId="166" fontId="10" fillId="0" borderId="0" xfId="1" applyNumberFormat="1" applyFont="1" applyFill="1" applyAlignment="1">
      <alignment horizontal="center" vertical="center"/>
    </xf>
    <xf numFmtId="2" fontId="0" fillId="0" borderId="0" xfId="0" applyNumberFormat="1" applyAlignment="1">
      <alignment horizontal="center" vertical="center"/>
    </xf>
    <xf numFmtId="3" fontId="3" fillId="0" borderId="0" xfId="0" applyNumberFormat="1" applyFont="1" applyAlignment="1">
      <alignment horizontal="center" vertical="center"/>
    </xf>
    <xf numFmtId="166" fontId="3" fillId="0" borderId="0" xfId="1" applyNumberFormat="1" applyFont="1" applyFill="1" applyBorder="1" applyAlignment="1">
      <alignment horizontal="center" vertical="center"/>
    </xf>
    <xf numFmtId="165" fontId="0" fillId="0" borderId="0" xfId="0" applyNumberFormat="1"/>
    <xf numFmtId="9" fontId="9" fillId="0" borderId="0" xfId="0" applyNumberFormat="1" applyFont="1"/>
    <xf numFmtId="9" fontId="9" fillId="13" borderId="1" xfId="0" applyNumberFormat="1" applyFont="1" applyFill="1" applyBorder="1"/>
    <xf numFmtId="9" fontId="9" fillId="23" borderId="1" xfId="0" applyNumberFormat="1" applyFont="1" applyFill="1" applyBorder="1"/>
    <xf numFmtId="10" fontId="9" fillId="24" borderId="1" xfId="0" applyNumberFormat="1" applyFont="1" applyFill="1" applyBorder="1" applyAlignment="1">
      <alignment horizontal="center"/>
    </xf>
    <xf numFmtId="10" fontId="9" fillId="25" borderId="1" xfId="0" applyNumberFormat="1" applyFont="1" applyFill="1" applyBorder="1" applyAlignment="1">
      <alignment horizontal="center"/>
    </xf>
    <xf numFmtId="10" fontId="9" fillId="26" borderId="1" xfId="0" applyNumberFormat="1" applyFont="1" applyFill="1" applyBorder="1" applyAlignment="1">
      <alignment horizontal="center"/>
    </xf>
    <xf numFmtId="10" fontId="9" fillId="27" borderId="1" xfId="0" applyNumberFormat="1" applyFont="1" applyFill="1" applyBorder="1" applyAlignment="1">
      <alignment horizontal="center"/>
    </xf>
    <xf numFmtId="10" fontId="9" fillId="28" borderId="1" xfId="0" applyNumberFormat="1" applyFont="1" applyFill="1" applyBorder="1" applyAlignment="1">
      <alignment horizontal="center"/>
    </xf>
    <xf numFmtId="10" fontId="9" fillId="29" borderId="1" xfId="0" applyNumberFormat="1" applyFont="1" applyFill="1" applyBorder="1" applyAlignment="1">
      <alignment horizontal="center"/>
    </xf>
    <xf numFmtId="10" fontId="9" fillId="30" borderId="1" xfId="0" applyNumberFormat="1" applyFont="1" applyFill="1" applyBorder="1" applyAlignment="1">
      <alignment horizontal="center"/>
    </xf>
    <xf numFmtId="10" fontId="9" fillId="31" borderId="1" xfId="0" applyNumberFormat="1" applyFont="1" applyFill="1" applyBorder="1" applyAlignment="1">
      <alignment horizontal="center"/>
    </xf>
    <xf numFmtId="10" fontId="9" fillId="32" borderId="1" xfId="0" applyNumberFormat="1" applyFont="1" applyFill="1" applyBorder="1" applyAlignment="1">
      <alignment horizontal="center"/>
    </xf>
    <xf numFmtId="10" fontId="9" fillId="33" borderId="1" xfId="0" applyNumberFormat="1" applyFont="1" applyFill="1" applyBorder="1" applyAlignment="1">
      <alignment horizontal="center"/>
    </xf>
    <xf numFmtId="10" fontId="9" fillId="34" borderId="1" xfId="0" applyNumberFormat="1" applyFont="1" applyFill="1" applyBorder="1" applyAlignment="1">
      <alignment horizontal="center"/>
    </xf>
    <xf numFmtId="10" fontId="9" fillId="35" borderId="1" xfId="0" applyNumberFormat="1" applyFont="1" applyFill="1" applyBorder="1" applyAlignment="1">
      <alignment horizontal="center"/>
    </xf>
    <xf numFmtId="0" fontId="0" fillId="0" borderId="0" xfId="2" applyNumberFormat="1" applyFont="1"/>
    <xf numFmtId="0" fontId="7" fillId="0" borderId="0" xfId="0" applyFont="1" applyAlignment="1">
      <alignment horizontal="center" vertical="center"/>
    </xf>
    <xf numFmtId="168" fontId="11" fillId="36" borderId="1" xfId="0" applyNumberFormat="1" applyFont="1" applyFill="1" applyBorder="1" applyAlignment="1">
      <alignment horizontal="center" vertical="center"/>
    </xf>
    <xf numFmtId="168" fontId="0" fillId="0" borderId="1" xfId="0" applyNumberFormat="1" applyBorder="1"/>
    <xf numFmtId="168" fontId="7" fillId="0" borderId="1" xfId="0" applyNumberFormat="1" applyFont="1" applyBorder="1" applyAlignment="1">
      <alignment horizontal="center" vertical="center"/>
    </xf>
    <xf numFmtId="0" fontId="7" fillId="0" borderId="1" xfId="0" applyFont="1" applyBorder="1"/>
    <xf numFmtId="168" fontId="7" fillId="0" borderId="1" xfId="0" applyNumberFormat="1" applyFont="1" applyBorder="1"/>
    <xf numFmtId="0" fontId="7" fillId="0" borderId="1" xfId="0" applyFont="1" applyBorder="1" applyAlignment="1">
      <alignment horizontal="center" vertical="center"/>
    </xf>
    <xf numFmtId="9" fontId="7" fillId="0" borderId="1" xfId="0" applyNumberFormat="1" applyFont="1" applyBorder="1" applyAlignment="1">
      <alignment horizontal="center" vertical="center"/>
    </xf>
    <xf numFmtId="0" fontId="7" fillId="10" borderId="1" xfId="0" applyFont="1" applyFill="1" applyBorder="1" applyAlignment="1">
      <alignment horizontal="center" vertical="center"/>
    </xf>
    <xf numFmtId="10" fontId="7" fillId="0" borderId="1" xfId="1" applyNumberFormat="1" applyFont="1" applyBorder="1" applyAlignment="1">
      <alignment horizontal="center"/>
    </xf>
    <xf numFmtId="0" fontId="13" fillId="10" borderId="1" xfId="0" applyFont="1" applyFill="1" applyBorder="1" applyAlignment="1">
      <alignment horizontal="center"/>
    </xf>
    <xf numFmtId="9" fontId="7" fillId="0" borderId="0" xfId="1" applyFont="1"/>
    <xf numFmtId="166" fontId="7" fillId="0" borderId="1" xfId="1" applyNumberFormat="1" applyFont="1" applyBorder="1" applyAlignment="1">
      <alignment horizontal="center" vertical="center"/>
    </xf>
    <xf numFmtId="0" fontId="7" fillId="10" borderId="2" xfId="0" applyFont="1" applyFill="1" applyBorder="1" applyAlignment="1">
      <alignment horizontal="center" vertical="center"/>
    </xf>
    <xf numFmtId="0" fontId="12" fillId="37" borderId="1" xfId="0" applyFont="1" applyFill="1" applyBorder="1" applyAlignment="1">
      <alignment horizontal="center" vertical="center"/>
    </xf>
    <xf numFmtId="9" fontId="7" fillId="0" borderId="1" xfId="1" applyFont="1" applyBorder="1" applyAlignment="1">
      <alignment horizontal="center" vertical="center"/>
    </xf>
    <xf numFmtId="9" fontId="7" fillId="0" borderId="0" xfId="1" applyFont="1" applyAlignment="1">
      <alignment horizontal="center" vertical="center"/>
    </xf>
    <xf numFmtId="0" fontId="2" fillId="2" borderId="0" xfId="0" applyFont="1" applyFill="1" applyAlignment="1">
      <alignment horizontal="center" vertical="center"/>
    </xf>
    <xf numFmtId="9" fontId="0" fillId="0" borderId="0" xfId="1" applyFont="1"/>
    <xf numFmtId="0" fontId="14" fillId="0" borderId="0" xfId="0" applyFont="1"/>
    <xf numFmtId="0" fontId="7" fillId="0" borderId="0" xfId="0" applyFont="1" applyAlignment="1">
      <alignment vertical="center"/>
    </xf>
    <xf numFmtId="0" fontId="0" fillId="0" borderId="10" xfId="0" applyBorder="1"/>
    <xf numFmtId="0" fontId="7" fillId="0" borderId="10" xfId="0" applyFont="1" applyBorder="1" applyAlignment="1">
      <alignment vertical="center"/>
    </xf>
    <xf numFmtId="0" fontId="15" fillId="0" borderId="0" xfId="0" applyFont="1" applyAlignment="1">
      <alignment horizontal="center" vertical="center"/>
    </xf>
    <xf numFmtId="10" fontId="3" fillId="0" borderId="1" xfId="0" applyNumberFormat="1" applyFont="1" applyBorder="1" applyAlignment="1">
      <alignment horizontal="center" vertical="center"/>
    </xf>
    <xf numFmtId="10" fontId="8" fillId="7" borderId="1" xfId="0" applyNumberFormat="1" applyFont="1" applyFill="1" applyBorder="1" applyAlignment="1">
      <alignment horizontal="center" vertical="center"/>
    </xf>
    <xf numFmtId="10" fontId="8" fillId="0" borderId="1" xfId="0" applyNumberFormat="1" applyFont="1" applyBorder="1" applyAlignment="1">
      <alignment horizontal="center" vertical="center"/>
    </xf>
    <xf numFmtId="0" fontId="7" fillId="0" borderId="15" xfId="0" applyFont="1" applyBorder="1" applyAlignment="1">
      <alignment vertical="center"/>
    </xf>
    <xf numFmtId="9" fontId="7" fillId="0" borderId="16" xfId="1" applyFont="1" applyBorder="1" applyAlignment="1">
      <alignment horizontal="center" vertical="center"/>
    </xf>
    <xf numFmtId="0" fontId="7" fillId="0" borderId="17" xfId="0" applyFont="1" applyBorder="1" applyAlignment="1">
      <alignment vertical="center"/>
    </xf>
    <xf numFmtId="9" fontId="7" fillId="0" borderId="7" xfId="0" applyNumberFormat="1" applyFont="1" applyBorder="1" applyAlignment="1">
      <alignment horizontal="center" vertical="center"/>
    </xf>
    <xf numFmtId="9" fontId="7" fillId="0" borderId="18" xfId="1" applyFont="1" applyBorder="1" applyAlignment="1">
      <alignment horizontal="center" vertical="center"/>
    </xf>
    <xf numFmtId="0" fontId="11" fillId="38" borderId="15"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7" fillId="38" borderId="11" xfId="0" applyFont="1" applyFill="1" applyBorder="1" applyAlignment="1">
      <alignment horizontal="center" vertical="center"/>
    </xf>
    <xf numFmtId="9" fontId="12" fillId="0" borderId="0" xfId="1" applyFont="1" applyAlignment="1">
      <alignment horizontal="center" vertical="center"/>
    </xf>
    <xf numFmtId="166" fontId="12" fillId="0" borderId="0" xfId="0" applyNumberFormat="1" applyFont="1" applyAlignment="1">
      <alignment vertical="center"/>
    </xf>
    <xf numFmtId="9" fontId="12" fillId="0" borderId="0" xfId="1" applyFont="1" applyAlignment="1">
      <alignment vertical="center"/>
    </xf>
    <xf numFmtId="0" fontId="12" fillId="0" borderId="0" xfId="0" applyFont="1" applyAlignment="1">
      <alignment vertical="center"/>
    </xf>
    <xf numFmtId="0" fontId="16" fillId="0" borderId="0" xfId="0" applyFont="1"/>
    <xf numFmtId="0" fontId="12" fillId="39" borderId="12" xfId="0" applyFont="1" applyFill="1" applyBorder="1" applyAlignment="1">
      <alignment horizontal="center" vertical="center"/>
    </xf>
    <xf numFmtId="0" fontId="12" fillId="39" borderId="13" xfId="0" applyFont="1" applyFill="1" applyBorder="1" applyAlignment="1">
      <alignment horizontal="center" vertical="center"/>
    </xf>
    <xf numFmtId="0" fontId="12" fillId="39" borderId="14" xfId="0" applyFont="1" applyFill="1" applyBorder="1" applyAlignment="1">
      <alignment horizontal="center" vertical="center"/>
    </xf>
    <xf numFmtId="0" fontId="7" fillId="0" borderId="17" xfId="0" applyFont="1" applyBorder="1"/>
    <xf numFmtId="0" fontId="7" fillId="0" borderId="7" xfId="0" applyFont="1" applyBorder="1"/>
    <xf numFmtId="0" fontId="7" fillId="0" borderId="18" xfId="0" applyFont="1" applyBorder="1"/>
    <xf numFmtId="0" fontId="21" fillId="10" borderId="16" xfId="0" applyFont="1" applyFill="1" applyBorder="1" applyAlignment="1">
      <alignment horizontal="center" vertical="center"/>
    </xf>
    <xf numFmtId="0" fontId="7" fillId="0" borderId="7" xfId="0" applyFont="1" applyBorder="1" applyAlignment="1">
      <alignment horizontal="center" vertical="center"/>
    </xf>
    <xf numFmtId="166" fontId="7" fillId="0" borderId="0" xfId="1" applyNumberFormat="1" applyFont="1"/>
    <xf numFmtId="166" fontId="12" fillId="0" borderId="0" xfId="1" applyNumberFormat="1" applyFont="1" applyAlignment="1">
      <alignment vertical="center"/>
    </xf>
    <xf numFmtId="166" fontId="7" fillId="0" borderId="16" xfId="1" applyNumberFormat="1" applyFont="1" applyBorder="1" applyAlignment="1">
      <alignment horizontal="center" vertical="center"/>
    </xf>
    <xf numFmtId="166" fontId="7" fillId="0" borderId="18" xfId="1" applyNumberFormat="1" applyFont="1" applyBorder="1" applyAlignment="1">
      <alignment horizontal="center" vertical="center"/>
    </xf>
    <xf numFmtId="0" fontId="23" fillId="0" borderId="9" xfId="0" applyFont="1" applyBorder="1" applyAlignment="1">
      <alignment horizontal="left"/>
    </xf>
    <xf numFmtId="0" fontId="23" fillId="0" borderId="0" xfId="0" applyFont="1"/>
    <xf numFmtId="0" fontId="23" fillId="0" borderId="9" xfId="0" applyFont="1" applyBorder="1"/>
    <xf numFmtId="0" fontId="11" fillId="38" borderId="25" xfId="0" applyFont="1" applyFill="1" applyBorder="1" applyAlignment="1">
      <alignment horizontal="center" vertical="center"/>
    </xf>
    <xf numFmtId="0" fontId="7" fillId="0" borderId="15" xfId="0" applyFont="1" applyBorder="1" applyAlignment="1">
      <alignment horizontal="left" vertical="center"/>
    </xf>
    <xf numFmtId="0" fontId="7" fillId="0" borderId="16" xfId="0" applyFont="1" applyBorder="1" applyAlignment="1">
      <alignment vertical="center"/>
    </xf>
    <xf numFmtId="0" fontId="7" fillId="0" borderId="17" xfId="0" applyFont="1" applyBorder="1" applyAlignment="1">
      <alignment horizontal="left" vertical="center"/>
    </xf>
    <xf numFmtId="0" fontId="7" fillId="0" borderId="18" xfId="0" applyFont="1" applyBorder="1" applyAlignment="1">
      <alignment vertical="center"/>
    </xf>
    <xf numFmtId="9" fontId="7" fillId="0" borderId="7" xfId="1" applyFont="1" applyBorder="1" applyAlignment="1">
      <alignment horizontal="center" vertical="center"/>
    </xf>
    <xf numFmtId="166" fontId="7" fillId="0" borderId="0" xfId="1" applyNumberFormat="1" applyFont="1" applyAlignment="1">
      <alignment vertical="center"/>
    </xf>
    <xf numFmtId="0" fontId="23" fillId="0" borderId="1" xfId="0" applyFont="1" applyBorder="1"/>
    <xf numFmtId="9" fontId="7" fillId="0" borderId="1" xfId="1" applyFont="1" applyFill="1" applyBorder="1" applyAlignment="1">
      <alignment horizontal="center" vertical="center"/>
    </xf>
    <xf numFmtId="166" fontId="7" fillId="0" borderId="1" xfId="1" applyNumberFormat="1" applyFont="1" applyFill="1" applyBorder="1" applyAlignment="1">
      <alignment horizontal="center" vertical="center"/>
    </xf>
    <xf numFmtId="0" fontId="4" fillId="0" borderId="1" xfId="0" applyFont="1" applyBorder="1" applyAlignment="1">
      <alignment horizontal="center" vertical="center" wrapText="1"/>
    </xf>
    <xf numFmtId="166" fontId="7" fillId="0" borderId="1" xfId="0" applyNumberFormat="1" applyFont="1" applyBorder="1" applyAlignment="1">
      <alignment horizontal="center" vertical="center"/>
    </xf>
    <xf numFmtId="9" fontId="3"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10" fontId="7"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30" xfId="0" applyFont="1" applyBorder="1" applyAlignment="1">
      <alignment horizontal="center" vertical="center"/>
    </xf>
    <xf numFmtId="10" fontId="3" fillId="0" borderId="30" xfId="0" applyNumberFormat="1" applyFont="1" applyBorder="1" applyAlignment="1">
      <alignment horizontal="center" vertical="center"/>
    </xf>
    <xf numFmtId="9" fontId="7" fillId="0" borderId="30" xfId="1" applyFont="1" applyFill="1" applyBorder="1" applyAlignment="1">
      <alignment horizontal="center" vertical="center"/>
    </xf>
    <xf numFmtId="166" fontId="7" fillId="0" borderId="30" xfId="1" applyNumberFormat="1" applyFont="1" applyFill="1" applyBorder="1" applyAlignment="1">
      <alignment horizontal="center" vertical="center"/>
    </xf>
    <xf numFmtId="0" fontId="4" fillId="0" borderId="30" xfId="0" applyFont="1" applyBorder="1" applyAlignment="1">
      <alignment horizontal="center" vertical="center" wrapText="1"/>
    </xf>
    <xf numFmtId="9" fontId="7" fillId="0" borderId="30" xfId="0" applyNumberFormat="1" applyFont="1" applyBorder="1" applyAlignment="1">
      <alignment horizontal="center" vertical="center"/>
    </xf>
    <xf numFmtId="166" fontId="7" fillId="0" borderId="30" xfId="0" applyNumberFormat="1" applyFont="1" applyBorder="1" applyAlignment="1">
      <alignment horizontal="center" vertical="center"/>
    </xf>
    <xf numFmtId="9" fontId="3" fillId="0" borderId="30" xfId="0" applyNumberFormat="1" applyFont="1" applyBorder="1" applyAlignment="1">
      <alignment horizontal="center" vertical="center" wrapText="1"/>
    </xf>
    <xf numFmtId="0" fontId="24" fillId="0" borderId="30" xfId="0" applyFont="1" applyBorder="1" applyAlignment="1">
      <alignment horizontal="left" vertical="center" wrapText="1"/>
    </xf>
    <xf numFmtId="164" fontId="3" fillId="0" borderId="30" xfId="0" applyNumberFormat="1" applyFont="1" applyBorder="1" applyAlignment="1">
      <alignment horizontal="center" vertical="center"/>
    </xf>
    <xf numFmtId="0" fontId="7" fillId="0" borderId="30" xfId="0" applyFont="1" applyBorder="1"/>
    <xf numFmtId="2" fontId="3" fillId="0" borderId="30" xfId="0" applyNumberFormat="1" applyFont="1" applyBorder="1" applyAlignment="1">
      <alignment horizontal="center" vertical="center"/>
    </xf>
    <xf numFmtId="0" fontId="3" fillId="0" borderId="30" xfId="0" applyFont="1" applyBorder="1" applyAlignment="1">
      <alignment horizontal="center" vertical="center"/>
    </xf>
    <xf numFmtId="3" fontId="3" fillId="0" borderId="30" xfId="0" applyNumberFormat="1" applyFont="1" applyBorder="1" applyAlignment="1">
      <alignment horizontal="center" vertical="center"/>
    </xf>
    <xf numFmtId="10" fontId="7" fillId="0" borderId="30" xfId="0" applyNumberFormat="1" applyFont="1" applyBorder="1" applyAlignment="1">
      <alignment horizontal="center" vertical="center"/>
    </xf>
    <xf numFmtId="0" fontId="12" fillId="41" borderId="29" xfId="0" applyFont="1" applyFill="1" applyBorder="1" applyAlignment="1">
      <alignment horizontal="center" vertical="center"/>
    </xf>
    <xf numFmtId="0" fontId="7" fillId="40" borderId="30" xfId="0" applyFont="1" applyFill="1" applyBorder="1" applyAlignment="1">
      <alignment horizontal="center" vertical="center"/>
    </xf>
    <xf numFmtId="0" fontId="7" fillId="40" borderId="1" xfId="0" applyFont="1" applyFill="1" applyBorder="1" applyAlignment="1">
      <alignment horizontal="center" vertical="center"/>
    </xf>
    <xf numFmtId="0" fontId="7" fillId="42" borderId="1" xfId="0" applyFont="1" applyFill="1" applyBorder="1" applyAlignment="1">
      <alignment horizontal="center" vertical="center"/>
    </xf>
    <xf numFmtId="0" fontId="7" fillId="43" borderId="1" xfId="0" applyFont="1" applyFill="1" applyBorder="1" applyAlignment="1">
      <alignment horizontal="center" vertical="center"/>
    </xf>
    <xf numFmtId="0" fontId="12" fillId="44" borderId="1" xfId="0" applyFont="1" applyFill="1" applyBorder="1" applyAlignment="1">
      <alignment horizontal="center" vertical="center"/>
    </xf>
    <xf numFmtId="0" fontId="3" fillId="10" borderId="30" xfId="0" applyFont="1" applyFill="1" applyBorder="1" applyAlignment="1">
      <alignment horizontal="center" vertical="center"/>
    </xf>
    <xf numFmtId="0" fontId="3" fillId="10" borderId="1" xfId="0" applyFont="1" applyFill="1" applyBorder="1" applyAlignment="1">
      <alignment horizontal="center" vertical="center"/>
    </xf>
    <xf numFmtId="0" fontId="7" fillId="45" borderId="1" xfId="0" applyFont="1" applyFill="1" applyBorder="1" applyAlignment="1">
      <alignment horizontal="center" vertical="center"/>
    </xf>
    <xf numFmtId="0" fontId="18" fillId="0" borderId="0" xfId="0" applyFont="1" applyAlignment="1">
      <alignment horizontal="center" vertical="center"/>
    </xf>
    <xf numFmtId="166" fontId="7" fillId="0" borderId="0" xfId="0" applyNumberFormat="1" applyFont="1" applyAlignment="1">
      <alignment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7" fillId="0" borderId="15" xfId="0" applyFont="1" applyBorder="1" applyAlignment="1">
      <alignment horizontal="center" vertical="center"/>
    </xf>
    <xf numFmtId="0" fontId="7" fillId="0" borderId="17" xfId="0" applyFont="1" applyBorder="1" applyAlignment="1">
      <alignment horizontal="center" vertical="center"/>
    </xf>
    <xf numFmtId="166" fontId="26" fillId="0" borderId="0" xfId="1" applyNumberFormat="1" applyFont="1" applyAlignment="1">
      <alignment vertical="center"/>
    </xf>
    <xf numFmtId="9" fontId="7" fillId="0" borderId="0" xfId="0" applyNumberFormat="1" applyFont="1" applyAlignment="1">
      <alignment vertical="center"/>
    </xf>
    <xf numFmtId="0" fontId="29" fillId="38" borderId="16" xfId="0" applyFont="1" applyFill="1" applyBorder="1" applyAlignment="1">
      <alignment horizontal="center" vertical="center"/>
    </xf>
    <xf numFmtId="9" fontId="12" fillId="0" borderId="0" xfId="0" applyNumberFormat="1" applyFont="1" applyAlignment="1">
      <alignment horizontal="left" vertical="center"/>
    </xf>
    <xf numFmtId="9" fontId="12" fillId="0" borderId="0" xfId="1" applyFont="1" applyAlignment="1">
      <alignment horizontal="left" vertical="center"/>
    </xf>
    <xf numFmtId="0" fontId="27" fillId="0" borderId="0" xfId="0" applyFont="1"/>
    <xf numFmtId="0" fontId="12" fillId="44" borderId="29" xfId="0" applyFont="1" applyFill="1" applyBorder="1" applyAlignment="1">
      <alignment horizontal="center" vertical="center"/>
    </xf>
    <xf numFmtId="0" fontId="12" fillId="43" borderId="29" xfId="0" applyFont="1" applyFill="1" applyBorder="1" applyAlignment="1">
      <alignment horizontal="center" vertical="center"/>
    </xf>
    <xf numFmtId="2" fontId="4" fillId="0" borderId="5" xfId="0" applyNumberFormat="1" applyFont="1" applyBorder="1"/>
    <xf numFmtId="9" fontId="7" fillId="0" borderId="0" xfId="0" applyNumberFormat="1" applyFont="1"/>
    <xf numFmtId="9" fontId="7" fillId="0" borderId="0" xfId="0" applyNumberFormat="1" applyFont="1" applyAlignment="1">
      <alignment horizontal="center" vertical="center"/>
    </xf>
    <xf numFmtId="166" fontId="27" fillId="0" borderId="0" xfId="1" applyNumberFormat="1" applyFont="1" applyAlignment="1">
      <alignment horizontal="center" vertical="center"/>
    </xf>
    <xf numFmtId="166" fontId="12" fillId="0" borderId="0" xfId="1" applyNumberFormat="1" applyFont="1"/>
    <xf numFmtId="167" fontId="27" fillId="0" borderId="0" xfId="0" applyNumberFormat="1" applyFont="1"/>
    <xf numFmtId="166" fontId="27" fillId="0" borderId="0" xfId="1" applyNumberFormat="1" applyFont="1" applyFill="1" applyAlignment="1">
      <alignment horizontal="center" vertical="center"/>
    </xf>
    <xf numFmtId="2" fontId="27" fillId="0" borderId="0" xfId="0" applyNumberFormat="1" applyFont="1" applyAlignment="1">
      <alignment horizontal="center" vertical="center"/>
    </xf>
    <xf numFmtId="3" fontId="12" fillId="0" borderId="0" xfId="0" applyNumberFormat="1" applyFont="1" applyAlignment="1">
      <alignment horizontal="center" vertical="center"/>
    </xf>
    <xf numFmtId="166" fontId="12" fillId="0" borderId="0" xfId="1" applyNumberFormat="1" applyFont="1" applyFill="1" applyBorder="1" applyAlignment="1">
      <alignment horizontal="center" vertical="center"/>
    </xf>
    <xf numFmtId="0" fontId="7" fillId="40" borderId="2" xfId="0" applyFont="1" applyFill="1" applyBorder="1"/>
    <xf numFmtId="0" fontId="0" fillId="40" borderId="2" xfId="0" applyFill="1" applyBorder="1"/>
    <xf numFmtId="0" fontId="7" fillId="10" borderId="9" xfId="0" applyFont="1" applyFill="1" applyBorder="1" applyAlignment="1">
      <alignment horizontal="center" vertical="center"/>
    </xf>
    <xf numFmtId="9" fontId="7" fillId="0" borderId="9" xfId="1" applyFont="1" applyBorder="1" applyAlignment="1">
      <alignment horizontal="center" vertical="center"/>
    </xf>
    <xf numFmtId="0" fontId="7" fillId="10" borderId="12" xfId="0" applyFont="1" applyFill="1" applyBorder="1" applyAlignment="1">
      <alignment horizontal="center" vertical="center"/>
    </xf>
    <xf numFmtId="0" fontId="7" fillId="10" borderId="14" xfId="0" applyFont="1" applyFill="1" applyBorder="1" applyAlignment="1">
      <alignment horizontal="center" vertical="center"/>
    </xf>
    <xf numFmtId="9" fontId="7" fillId="0" borderId="15" xfId="1" applyFont="1" applyBorder="1" applyAlignment="1">
      <alignment horizontal="center" vertical="center"/>
    </xf>
    <xf numFmtId="9" fontId="0" fillId="0" borderId="16" xfId="1" applyFont="1" applyBorder="1" applyAlignment="1">
      <alignment horizontal="center" vertical="center"/>
    </xf>
    <xf numFmtId="9" fontId="7" fillId="0" borderId="17" xfId="1" applyFont="1" applyBorder="1" applyAlignment="1">
      <alignment horizontal="center" vertical="center"/>
    </xf>
    <xf numFmtId="0" fontId="7" fillId="0" borderId="7"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10" fontId="7" fillId="0" borderId="1" xfId="1" applyNumberFormat="1" applyFont="1" applyBorder="1" applyAlignment="1">
      <alignment horizontal="center" vertical="center"/>
    </xf>
    <xf numFmtId="168" fontId="7" fillId="0" borderId="0" xfId="0" applyNumberFormat="1" applyFont="1"/>
    <xf numFmtId="0" fontId="23" fillId="0" borderId="15" xfId="0" applyFont="1" applyBorder="1" applyAlignment="1">
      <alignment horizontal="left" vertical="center" wrapText="1"/>
    </xf>
    <xf numFmtId="0" fontId="23" fillId="0" borderId="17" xfId="0" applyFont="1" applyBorder="1" applyAlignment="1">
      <alignment horizontal="left" vertical="center" wrapText="1"/>
    </xf>
    <xf numFmtId="9" fontId="3" fillId="0" borderId="30" xfId="0" applyNumberFormat="1" applyFont="1" applyBorder="1" applyAlignment="1">
      <alignment horizontal="center" vertical="center"/>
    </xf>
    <xf numFmtId="0" fontId="7" fillId="38" borderId="1" xfId="0" applyFont="1" applyFill="1" applyBorder="1" applyAlignment="1">
      <alignment horizontal="center" vertical="center"/>
    </xf>
    <xf numFmtId="0" fontId="26" fillId="0" borderId="0" xfId="0" applyFont="1" applyAlignment="1">
      <alignment vertical="center"/>
    </xf>
    <xf numFmtId="0" fontId="7" fillId="0" borderId="31" xfId="0" applyFont="1" applyBorder="1" applyAlignment="1">
      <alignment horizontal="center" vertical="center"/>
    </xf>
    <xf numFmtId="0" fontId="7" fillId="0" borderId="32" xfId="0" applyFont="1" applyBorder="1" applyAlignment="1">
      <alignment horizontal="center" vertical="center"/>
    </xf>
    <xf numFmtId="0" fontId="7" fillId="0" borderId="3" xfId="0" applyFont="1" applyBorder="1" applyAlignment="1">
      <alignment horizontal="center" vertical="center"/>
    </xf>
    <xf numFmtId="166" fontId="7" fillId="0" borderId="2" xfId="1" applyNumberFormat="1" applyFont="1" applyBorder="1" applyAlignment="1">
      <alignment horizontal="center" vertical="center"/>
    </xf>
    <xf numFmtId="9" fontId="7" fillId="0" borderId="3" xfId="1" applyFont="1" applyBorder="1" applyAlignment="1">
      <alignment horizontal="center" vertical="center"/>
    </xf>
    <xf numFmtId="166" fontId="7" fillId="0" borderId="3" xfId="1" applyNumberFormat="1" applyFont="1" applyBorder="1" applyAlignment="1">
      <alignment horizontal="center" vertical="center"/>
    </xf>
    <xf numFmtId="0" fontId="7" fillId="38" borderId="2" xfId="0" applyFont="1" applyFill="1" applyBorder="1" applyAlignment="1">
      <alignment horizontal="center" vertical="center"/>
    </xf>
    <xf numFmtId="0" fontId="7" fillId="38" borderId="34" xfId="0" applyFont="1" applyFill="1" applyBorder="1" applyAlignment="1">
      <alignment horizontal="center" vertical="center"/>
    </xf>
    <xf numFmtId="166" fontId="7" fillId="0" borderId="15" xfId="1" applyNumberFormat="1" applyFont="1" applyBorder="1" applyAlignment="1">
      <alignment horizontal="center" vertical="center"/>
    </xf>
    <xf numFmtId="166" fontId="7" fillId="0" borderId="7" xfId="1" applyNumberFormat="1" applyFont="1" applyBorder="1" applyAlignment="1">
      <alignment horizontal="center" vertical="center"/>
    </xf>
    <xf numFmtId="0" fontId="12" fillId="49" borderId="31" xfId="0" applyFont="1" applyFill="1" applyBorder="1" applyAlignment="1">
      <alignment horizontal="center" vertical="center"/>
    </xf>
    <xf numFmtId="0" fontId="12" fillId="49" borderId="30" xfId="0" applyFont="1" applyFill="1" applyBorder="1" applyAlignment="1">
      <alignment horizontal="center" vertical="center"/>
    </xf>
    <xf numFmtId="0" fontId="12" fillId="49" borderId="32" xfId="0" applyFont="1" applyFill="1" applyBorder="1" applyAlignment="1">
      <alignment horizontal="center" vertical="center"/>
    </xf>
    <xf numFmtId="0" fontId="7" fillId="40" borderId="9" xfId="0" applyFont="1" applyFill="1" applyBorder="1" applyAlignment="1">
      <alignment horizontal="center" vertical="center"/>
    </xf>
    <xf numFmtId="0" fontId="7" fillId="42" borderId="9" xfId="0" applyFont="1" applyFill="1" applyBorder="1" applyAlignment="1">
      <alignment horizontal="center" vertical="center"/>
    </xf>
    <xf numFmtId="0" fontId="7" fillId="43" borderId="9" xfId="0" applyFont="1" applyFill="1" applyBorder="1" applyAlignment="1">
      <alignment horizontal="center" vertical="center"/>
    </xf>
    <xf numFmtId="0" fontId="7" fillId="43" borderId="33" xfId="0" applyFont="1" applyFill="1" applyBorder="1" applyAlignment="1">
      <alignment horizontal="center" vertical="center"/>
    </xf>
    <xf numFmtId="166" fontId="7" fillId="0" borderId="0" xfId="0" applyNumberFormat="1" applyFont="1"/>
    <xf numFmtId="3" fontId="7" fillId="0" borderId="0" xfId="0" applyNumberFormat="1" applyFont="1"/>
    <xf numFmtId="169" fontId="7" fillId="0" borderId="0" xfId="0" applyNumberFormat="1" applyFont="1"/>
    <xf numFmtId="169" fontId="4" fillId="0" borderId="5" xfId="0" applyNumberFormat="1" applyFont="1" applyBorder="1"/>
    <xf numFmtId="9" fontId="7" fillId="0" borderId="33" xfId="1" applyFont="1" applyBorder="1" applyAlignment="1">
      <alignment horizontal="center" vertical="center"/>
    </xf>
    <xf numFmtId="0" fontId="31" fillId="41" borderId="11" xfId="0" applyFont="1" applyFill="1" applyBorder="1" applyAlignment="1">
      <alignment horizontal="center" vertical="center"/>
    </xf>
    <xf numFmtId="166" fontId="7" fillId="50" borderId="37" xfId="1" applyNumberFormat="1" applyFont="1" applyFill="1" applyBorder="1" applyAlignment="1">
      <alignment horizontal="center" vertical="center"/>
    </xf>
    <xf numFmtId="166" fontId="7" fillId="50" borderId="11" xfId="1" applyNumberFormat="1" applyFont="1" applyFill="1" applyBorder="1" applyAlignment="1">
      <alignment horizontal="center" vertical="center"/>
    </xf>
    <xf numFmtId="166" fontId="7" fillId="50" borderId="32" xfId="1" applyNumberFormat="1" applyFont="1" applyFill="1" applyBorder="1" applyAlignment="1">
      <alignment horizontal="center" vertical="center"/>
    </xf>
    <xf numFmtId="166" fontId="7" fillId="50" borderId="2" xfId="1" applyNumberFormat="1" applyFont="1" applyFill="1" applyBorder="1" applyAlignment="1">
      <alignment horizontal="center" vertical="center"/>
    </xf>
    <xf numFmtId="166" fontId="7" fillId="50" borderId="34" xfId="1" applyNumberFormat="1" applyFont="1" applyFill="1" applyBorder="1" applyAlignment="1">
      <alignment horizontal="center" vertical="center"/>
    </xf>
    <xf numFmtId="166" fontId="7" fillId="50" borderId="38" xfId="1" applyNumberFormat="1" applyFont="1" applyFill="1" applyBorder="1" applyAlignment="1">
      <alignment horizontal="center" vertical="center"/>
    </xf>
    <xf numFmtId="166" fontId="7" fillId="50" borderId="39" xfId="1" applyNumberFormat="1" applyFont="1" applyFill="1" applyBorder="1" applyAlignment="1">
      <alignment horizontal="center" vertical="center"/>
    </xf>
    <xf numFmtId="0" fontId="7" fillId="10" borderId="35" xfId="0" applyFont="1" applyFill="1" applyBorder="1" applyAlignment="1">
      <alignment horizontal="center" vertical="center"/>
    </xf>
    <xf numFmtId="0" fontId="7" fillId="10" borderId="30" xfId="0" applyFont="1" applyFill="1" applyBorder="1" applyAlignment="1">
      <alignment horizontal="center" vertical="center"/>
    </xf>
    <xf numFmtId="0" fontId="7" fillId="10" borderId="30" xfId="0" applyFont="1" applyFill="1" applyBorder="1" applyAlignment="1">
      <alignment horizontal="center" vertical="center" wrapText="1"/>
    </xf>
    <xf numFmtId="0" fontId="7" fillId="10" borderId="36" xfId="0" applyFont="1" applyFill="1" applyBorder="1" applyAlignment="1">
      <alignment horizontal="center" vertical="center"/>
    </xf>
    <xf numFmtId="0" fontId="7" fillId="46" borderId="35" xfId="0" applyFont="1" applyFill="1" applyBorder="1" applyAlignment="1">
      <alignment horizontal="center" vertical="center"/>
    </xf>
    <xf numFmtId="0" fontId="7" fillId="46" borderId="30" xfId="0" applyFont="1" applyFill="1" applyBorder="1" applyAlignment="1">
      <alignment horizontal="center" vertical="center"/>
    </xf>
    <xf numFmtId="0" fontId="7" fillId="46" borderId="36" xfId="0" applyFont="1" applyFill="1" applyBorder="1" applyAlignment="1">
      <alignment horizontal="center" vertical="center"/>
    </xf>
    <xf numFmtId="0" fontId="7" fillId="38" borderId="35"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0" xfId="0" applyFont="1" applyFill="1" applyBorder="1" applyAlignment="1">
      <alignment horizontal="center" vertical="center" wrapText="1"/>
    </xf>
    <xf numFmtId="0" fontId="7" fillId="38" borderId="36" xfId="0" applyFont="1" applyFill="1" applyBorder="1" applyAlignment="1">
      <alignment horizontal="center" vertical="center"/>
    </xf>
    <xf numFmtId="168" fontId="19" fillId="0" borderId="0" xfId="0" applyNumberFormat="1" applyFont="1" applyAlignment="1">
      <alignment horizontal="center" vertical="center"/>
    </xf>
    <xf numFmtId="0" fontId="25" fillId="48" borderId="1" xfId="0" applyFont="1" applyFill="1" applyBorder="1" applyAlignment="1">
      <alignment horizontal="center" vertical="center"/>
    </xf>
    <xf numFmtId="0" fontId="25" fillId="48" borderId="16" xfId="0" applyFont="1" applyFill="1" applyBorder="1" applyAlignment="1">
      <alignment horizontal="center" vertical="center"/>
    </xf>
    <xf numFmtId="0" fontId="25" fillId="48" borderId="7" xfId="0" applyFont="1" applyFill="1" applyBorder="1" applyAlignment="1">
      <alignment horizontal="center" vertical="center"/>
    </xf>
    <xf numFmtId="0" fontId="25" fillId="48" borderId="18" xfId="0" applyFont="1" applyFill="1" applyBorder="1" applyAlignment="1">
      <alignment horizontal="center" vertical="center"/>
    </xf>
    <xf numFmtId="0" fontId="11" fillId="10" borderId="15" xfId="0" applyFont="1" applyFill="1" applyBorder="1" applyAlignment="1">
      <alignment horizontal="center" vertical="center"/>
    </xf>
    <xf numFmtId="0" fontId="11" fillId="10" borderId="1" xfId="0" applyFont="1" applyFill="1" applyBorder="1" applyAlignment="1">
      <alignment horizontal="center" vertical="center"/>
    </xf>
    <xf numFmtId="0" fontId="11" fillId="10" borderId="16" xfId="0" applyFont="1" applyFill="1" applyBorder="1" applyAlignment="1">
      <alignment horizontal="center" vertical="center"/>
    </xf>
    <xf numFmtId="0" fontId="21" fillId="10" borderId="23" xfId="0" applyFont="1" applyFill="1" applyBorder="1" applyAlignment="1">
      <alignment horizontal="center" vertical="center"/>
    </xf>
    <xf numFmtId="0" fontId="21" fillId="10" borderId="22" xfId="0" applyFont="1" applyFill="1" applyBorder="1" applyAlignment="1">
      <alignment horizontal="center" vertical="center"/>
    </xf>
    <xf numFmtId="0" fontId="21" fillId="10" borderId="9" xfId="0" applyFont="1" applyFill="1" applyBorder="1" applyAlignment="1">
      <alignment horizontal="center" vertical="center"/>
    </xf>
    <xf numFmtId="0" fontId="21" fillId="10" borderId="2" xfId="0" applyFont="1" applyFill="1" applyBorder="1" applyAlignment="1">
      <alignment horizontal="center" vertical="center"/>
    </xf>
    <xf numFmtId="0" fontId="21" fillId="10" borderId="24" xfId="0" applyFont="1" applyFill="1" applyBorder="1" applyAlignment="1">
      <alignment horizontal="center" vertical="center"/>
    </xf>
    <xf numFmtId="0" fontId="23" fillId="0" borderId="15" xfId="0" applyFont="1" applyBorder="1" applyAlignment="1">
      <alignment horizontal="left" vertical="center" wrapText="1"/>
    </xf>
    <xf numFmtId="0" fontId="23" fillId="0" borderId="1" xfId="0" applyFont="1" applyBorder="1" applyAlignment="1">
      <alignment horizontal="left" vertical="center" wrapText="1"/>
    </xf>
    <xf numFmtId="0" fontId="23" fillId="0" borderId="17" xfId="0" applyFont="1" applyBorder="1" applyAlignment="1">
      <alignment horizontal="left" vertical="center" wrapText="1"/>
    </xf>
    <xf numFmtId="0" fontId="23" fillId="0" borderId="7" xfId="0" applyFont="1" applyBorder="1" applyAlignment="1">
      <alignment horizontal="left" vertical="center" wrapText="1"/>
    </xf>
    <xf numFmtId="9" fontId="16" fillId="48" borderId="1" xfId="1" applyFont="1" applyFill="1" applyBorder="1" applyAlignment="1">
      <alignment horizontal="center" vertical="center"/>
    </xf>
    <xf numFmtId="9" fontId="16" fillId="48" borderId="16" xfId="1" applyFont="1" applyFill="1" applyBorder="1" applyAlignment="1">
      <alignment horizontal="center" vertical="center"/>
    </xf>
    <xf numFmtId="9" fontId="16" fillId="48" borderId="7" xfId="1" applyFont="1" applyFill="1" applyBorder="1" applyAlignment="1">
      <alignment horizontal="center" vertical="center"/>
    </xf>
    <xf numFmtId="9" fontId="16" fillId="48" borderId="18" xfId="1" applyFont="1" applyFill="1" applyBorder="1" applyAlignment="1">
      <alignment horizontal="center" vertical="center"/>
    </xf>
    <xf numFmtId="0" fontId="7" fillId="0" borderId="1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7" xfId="0" applyFont="1" applyBorder="1" applyAlignment="1">
      <alignment horizontal="center" vertical="center" wrapText="1"/>
    </xf>
    <xf numFmtId="0" fontId="16" fillId="48" borderId="1" xfId="0" applyFont="1" applyFill="1" applyBorder="1" applyAlignment="1">
      <alignment horizontal="center" vertical="center"/>
    </xf>
    <xf numFmtId="0" fontId="16" fillId="48" borderId="16" xfId="0" applyFont="1" applyFill="1" applyBorder="1" applyAlignment="1">
      <alignment horizontal="center" vertical="center"/>
    </xf>
    <xf numFmtId="0" fontId="16" fillId="48" borderId="7" xfId="0" applyFont="1" applyFill="1" applyBorder="1" applyAlignment="1">
      <alignment horizontal="center" vertical="center"/>
    </xf>
    <xf numFmtId="0" fontId="16" fillId="48" borderId="18" xfId="0" applyFont="1" applyFill="1" applyBorder="1" applyAlignment="1">
      <alignment horizontal="center" vertical="center"/>
    </xf>
    <xf numFmtId="0" fontId="30" fillId="0" borderId="15" xfId="0" applyFont="1" applyBorder="1" applyAlignment="1">
      <alignment horizontal="center" vertical="center"/>
    </xf>
    <xf numFmtId="0" fontId="30" fillId="0" borderId="1" xfId="0" applyFont="1" applyBorder="1" applyAlignment="1">
      <alignment horizontal="center" vertical="center"/>
    </xf>
    <xf numFmtId="0" fontId="30" fillId="0" borderId="17" xfId="0" applyFont="1" applyBorder="1" applyAlignment="1">
      <alignment horizontal="center" vertical="center"/>
    </xf>
    <xf numFmtId="0" fontId="30" fillId="0" borderId="7" xfId="0" applyFont="1" applyBorder="1" applyAlignment="1">
      <alignment horizontal="center" vertical="center"/>
    </xf>
    <xf numFmtId="0" fontId="20" fillId="39" borderId="12" xfId="0" applyFont="1" applyFill="1" applyBorder="1" applyAlignment="1">
      <alignment horizontal="center" vertical="center"/>
    </xf>
    <xf numFmtId="0" fontId="20" fillId="39" borderId="13" xfId="0" applyFont="1" applyFill="1" applyBorder="1" applyAlignment="1">
      <alignment horizontal="center" vertical="center"/>
    </xf>
    <xf numFmtId="0" fontId="20" fillId="39" borderId="14" xfId="0" applyFont="1" applyFill="1" applyBorder="1" applyAlignment="1">
      <alignment horizontal="center" vertical="center"/>
    </xf>
    <xf numFmtId="0" fontId="20" fillId="39" borderId="15" xfId="0" applyFont="1" applyFill="1" applyBorder="1" applyAlignment="1">
      <alignment horizontal="center" vertical="center"/>
    </xf>
    <xf numFmtId="0" fontId="20" fillId="39" borderId="1" xfId="0" applyFont="1" applyFill="1" applyBorder="1" applyAlignment="1">
      <alignment horizontal="center" vertical="center"/>
    </xf>
    <xf numFmtId="0" fontId="20" fillId="39" borderId="16" xfId="0" applyFont="1" applyFill="1" applyBorder="1" applyAlignment="1">
      <alignment horizontal="center" vertical="center"/>
    </xf>
    <xf numFmtId="0" fontId="21" fillId="10" borderId="15" xfId="0" applyFont="1" applyFill="1" applyBorder="1" applyAlignment="1">
      <alignment horizontal="center" vertical="center"/>
    </xf>
    <xf numFmtId="0" fontId="21" fillId="10" borderId="1" xfId="0" applyFont="1" applyFill="1" applyBorder="1" applyAlignment="1">
      <alignment horizontal="center" vertical="center"/>
    </xf>
    <xf numFmtId="0" fontId="19" fillId="0" borderId="1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7" xfId="0" applyFont="1" applyBorder="1" applyAlignment="1">
      <alignment horizontal="center" vertical="center" wrapText="1"/>
    </xf>
    <xf numFmtId="0" fontId="7" fillId="48" borderId="16" xfId="0" applyFont="1" applyFill="1" applyBorder="1" applyAlignment="1">
      <alignment horizontal="center" vertical="center"/>
    </xf>
    <xf numFmtId="0" fontId="7" fillId="48" borderId="18" xfId="0" applyFont="1" applyFill="1" applyBorder="1" applyAlignment="1">
      <alignment horizontal="center" vertical="center"/>
    </xf>
    <xf numFmtId="0" fontId="22" fillId="39" borderId="19" xfId="0" applyFont="1" applyFill="1" applyBorder="1" applyAlignment="1">
      <alignment horizontal="center" vertical="center"/>
    </xf>
    <xf numFmtId="0" fontId="22" fillId="39" borderId="20" xfId="0" applyFont="1" applyFill="1" applyBorder="1" applyAlignment="1">
      <alignment horizontal="center" vertical="center"/>
    </xf>
    <xf numFmtId="0" fontId="22" fillId="39" borderId="21" xfId="0" applyFont="1" applyFill="1" applyBorder="1" applyAlignment="1">
      <alignment horizontal="center" vertical="center"/>
    </xf>
    <xf numFmtId="0" fontId="7" fillId="10" borderId="12" xfId="0" applyFont="1" applyFill="1" applyBorder="1" applyAlignment="1">
      <alignment horizontal="center" vertical="center"/>
    </xf>
    <xf numFmtId="0" fontId="7" fillId="10" borderId="13" xfId="0" applyFont="1" applyFill="1" applyBorder="1" applyAlignment="1">
      <alignment horizontal="center" vertical="center"/>
    </xf>
    <xf numFmtId="0" fontId="7" fillId="10" borderId="14" xfId="0" applyFont="1" applyFill="1" applyBorder="1" applyAlignment="1">
      <alignment horizontal="center" vertical="center"/>
    </xf>
    <xf numFmtId="0" fontId="7" fillId="38" borderId="19" xfId="0" applyFont="1" applyFill="1" applyBorder="1" applyAlignment="1">
      <alignment horizontal="center" vertical="center"/>
    </xf>
    <xf numFmtId="0" fontId="7" fillId="38" borderId="20" xfId="0" applyFont="1" applyFill="1" applyBorder="1" applyAlignment="1">
      <alignment horizontal="center" vertical="center"/>
    </xf>
    <xf numFmtId="0" fontId="7" fillId="38" borderId="21" xfId="0" applyFont="1" applyFill="1" applyBorder="1" applyAlignment="1">
      <alignment horizontal="center" vertical="center"/>
    </xf>
    <xf numFmtId="0" fontId="7" fillId="46" borderId="19" xfId="0" applyFont="1" applyFill="1" applyBorder="1" applyAlignment="1">
      <alignment horizontal="center" vertical="center"/>
    </xf>
    <xf numFmtId="0" fontId="7" fillId="46" borderId="20" xfId="0" applyFont="1" applyFill="1" applyBorder="1" applyAlignment="1">
      <alignment horizontal="center" vertical="center"/>
    </xf>
    <xf numFmtId="0" fontId="7" fillId="46" borderId="21" xfId="0" applyFont="1" applyFill="1" applyBorder="1" applyAlignment="1">
      <alignment horizontal="center"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30" fillId="0" borderId="15"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7" xfId="0" applyFont="1" applyBorder="1" applyAlignment="1">
      <alignment horizontal="center" vertical="center" wrapText="1"/>
    </xf>
    <xf numFmtId="0" fontId="25" fillId="0" borderId="1" xfId="0" applyFont="1" applyBorder="1" applyAlignment="1">
      <alignment horizontal="center" vertical="center"/>
    </xf>
    <xf numFmtId="0" fontId="25" fillId="0" borderId="16" xfId="0" applyFont="1" applyBorder="1" applyAlignment="1">
      <alignment horizontal="center" vertical="center"/>
    </xf>
    <xf numFmtId="0" fontId="25" fillId="0" borderId="7" xfId="0" applyFont="1" applyBorder="1" applyAlignment="1">
      <alignment horizontal="center" vertical="center"/>
    </xf>
    <xf numFmtId="0" fontId="25" fillId="0" borderId="18" xfId="0" applyFont="1" applyBorder="1" applyAlignment="1">
      <alignment horizontal="center" vertical="center"/>
    </xf>
    <xf numFmtId="9" fontId="16" fillId="0" borderId="1" xfId="1" applyFont="1" applyBorder="1" applyAlignment="1">
      <alignment horizontal="center" vertical="center"/>
    </xf>
    <xf numFmtId="9" fontId="16" fillId="0" borderId="16" xfId="1" applyFont="1" applyBorder="1" applyAlignment="1">
      <alignment horizontal="center" vertical="center"/>
    </xf>
    <xf numFmtId="9" fontId="16" fillId="0" borderId="7" xfId="1" applyFont="1" applyBorder="1" applyAlignment="1">
      <alignment horizontal="center" vertical="center"/>
    </xf>
    <xf numFmtId="9" fontId="16" fillId="0" borderId="18" xfId="1" applyFont="1" applyBorder="1" applyAlignment="1">
      <alignment horizontal="center" vertical="center"/>
    </xf>
    <xf numFmtId="0" fontId="16" fillId="0" borderId="1" xfId="0" applyFont="1" applyBorder="1" applyAlignment="1">
      <alignment horizontal="center" vertical="center"/>
    </xf>
    <xf numFmtId="0" fontId="16" fillId="0" borderId="16" xfId="0" applyFont="1" applyBorder="1" applyAlignment="1">
      <alignment horizontal="center" vertical="center"/>
    </xf>
    <xf numFmtId="0" fontId="16" fillId="0" borderId="7" xfId="0" applyFont="1" applyBorder="1" applyAlignment="1">
      <alignment horizontal="center" vertical="center"/>
    </xf>
    <xf numFmtId="0" fontId="16" fillId="0" borderId="18" xfId="0" applyFont="1" applyBorder="1" applyAlignment="1">
      <alignment horizontal="center" vertical="center"/>
    </xf>
    <xf numFmtId="0" fontId="7" fillId="10" borderId="1"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28" fillId="47" borderId="26" xfId="0" applyFont="1" applyFill="1" applyBorder="1" applyAlignment="1">
      <alignment horizontal="center" vertical="center"/>
    </xf>
    <xf numFmtId="0" fontId="28" fillId="47" borderId="28" xfId="0" applyFont="1" applyFill="1" applyBorder="1" applyAlignment="1">
      <alignment horizontal="center" vertical="center"/>
    </xf>
    <xf numFmtId="0" fontId="11" fillId="47" borderId="26" xfId="0" applyFont="1" applyFill="1" applyBorder="1" applyAlignment="1">
      <alignment horizontal="center" vertical="center"/>
    </xf>
    <xf numFmtId="0" fontId="11" fillId="47" borderId="28"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11" fillId="46" borderId="12" xfId="0" applyFont="1" applyFill="1" applyBorder="1" applyAlignment="1">
      <alignment horizontal="center" vertical="center"/>
    </xf>
    <xf numFmtId="0" fontId="11" fillId="46" borderId="13" xfId="0" applyFont="1" applyFill="1" applyBorder="1" applyAlignment="1">
      <alignment horizontal="center" vertical="center"/>
    </xf>
    <xf numFmtId="0" fontId="11" fillId="46" borderId="14" xfId="0" applyFont="1" applyFill="1" applyBorder="1" applyAlignment="1">
      <alignment horizontal="center" vertical="center"/>
    </xf>
    <xf numFmtId="0" fontId="17" fillId="10" borderId="12" xfId="0" applyFont="1" applyFill="1" applyBorder="1" applyAlignment="1">
      <alignment horizontal="center" vertical="center"/>
    </xf>
    <xf numFmtId="0" fontId="17" fillId="10" borderId="13" xfId="0" applyFont="1" applyFill="1" applyBorder="1" applyAlignment="1">
      <alignment horizontal="center" vertical="center"/>
    </xf>
    <xf numFmtId="0" fontId="17" fillId="10" borderId="14" xfId="0" applyFont="1" applyFill="1" applyBorder="1" applyAlignment="1">
      <alignment horizontal="center" vertical="center"/>
    </xf>
    <xf numFmtId="0" fontId="16" fillId="22" borderId="26" xfId="0" applyFont="1" applyFill="1" applyBorder="1" applyAlignment="1">
      <alignment horizontal="center" vertical="center"/>
    </xf>
    <xf numFmtId="0" fontId="16" fillId="22" borderId="27" xfId="0" applyFont="1" applyFill="1" applyBorder="1" applyAlignment="1">
      <alignment horizontal="center" vertical="center"/>
    </xf>
    <xf numFmtId="0" fontId="16" fillId="22" borderId="28" xfId="0" applyFont="1" applyFill="1" applyBorder="1" applyAlignment="1">
      <alignment horizontal="center" vertical="center"/>
    </xf>
  </cellXfs>
  <cellStyles count="3">
    <cellStyle name="Moneda" xfId="2" builtinId="4"/>
    <cellStyle name="Normal" xfId="0" builtinId="0"/>
    <cellStyle name="Porcentaje" xfId="1" builtinId="5"/>
  </cellStyles>
  <dxfs count="59">
    <dxf>
      <font>
        <b val="0"/>
        <i val="0"/>
        <strike val="0"/>
        <condense val="0"/>
        <extend val="0"/>
        <outline val="0"/>
        <shadow val="0"/>
        <u val="none"/>
        <vertAlign val="baseline"/>
        <sz val="11"/>
        <color theme="1"/>
        <name val="Calibri"/>
        <family val="2"/>
        <scheme val="none"/>
      </font>
      <numFmt numFmtId="166"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2A32-4520-9568-89C38D33CED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A32-4520-9568-89C38D33CED0}"/>
              </c:ext>
            </c:extLst>
          </c:dPt>
          <c:dLbls>
            <c:dLbl>
              <c:idx val="1"/>
              <c:delete val="1"/>
              <c:extLst>
                <c:ext xmlns:c15="http://schemas.microsoft.com/office/drawing/2012/chart" uri="{CE6537A1-D6FC-4f65-9D91-7224C49458BB}"/>
                <c:ext xmlns:c16="http://schemas.microsoft.com/office/drawing/2014/chart" uri="{C3380CC4-5D6E-409C-BE32-E72D297353CC}">
                  <c16:uniqueId val="{00000003-2A32-4520-9568-89C38D33CED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(2)'!$M$34:$N$34</c:f>
              <c:strCache>
                <c:ptCount val="2"/>
                <c:pt idx="0">
                  <c:v>%Ach</c:v>
                </c:pt>
                <c:pt idx="1">
                  <c:v>Diff</c:v>
                </c:pt>
              </c:strCache>
            </c:strRef>
          </c:cat>
          <c:val>
            <c:numRef>
              <c:f>'DB (2)'!$M$35:$N$35</c:f>
              <c:numCache>
                <c:formatCode>0.0%</c:formatCode>
                <c:ptCount val="2"/>
                <c:pt idx="0">
                  <c:v>0.98701298701298701</c:v>
                </c:pt>
                <c:pt idx="1">
                  <c:v>1.2987012987012991E-2</c:v>
                </c:pt>
              </c:numCache>
            </c:numRef>
          </c:val>
          <c:extLst>
            <c:ext xmlns:c16="http://schemas.microsoft.com/office/drawing/2014/chart" uri="{C3380CC4-5D6E-409C-BE32-E72D297353CC}">
              <c16:uniqueId val="{00000004-2A32-4520-9568-89C38D33CED0}"/>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8E43-4CFA-94F7-A09E1DD2795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8E43-4CFA-94F7-A09E1DD27959}"/>
              </c:ext>
            </c:extLst>
          </c:dPt>
          <c:dLbls>
            <c:dLbl>
              <c:idx val="0"/>
              <c:layout>
                <c:manualLayout>
                  <c:x val="-0.10252802829153917"/>
                  <c:y val="5.0555550127257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43-4CFA-94F7-A09E1DD27959}"/>
                </c:ext>
              </c:extLst>
            </c:dLbl>
            <c:dLbl>
              <c:idx val="1"/>
              <c:delete val="1"/>
              <c:extLst>
                <c:ext xmlns:c15="http://schemas.microsoft.com/office/drawing/2012/chart" uri="{CE6537A1-D6FC-4f65-9D91-7224C49458BB}"/>
                <c:ext xmlns:c16="http://schemas.microsoft.com/office/drawing/2014/chart" uri="{C3380CC4-5D6E-409C-BE32-E72D297353CC}">
                  <c16:uniqueId val="{00000003-8E43-4CFA-94F7-A09E1DD2795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(2)'!$S$34:$T$34</c:f>
              <c:strCache>
                <c:ptCount val="2"/>
                <c:pt idx="0">
                  <c:v>%Ach</c:v>
                </c:pt>
                <c:pt idx="1">
                  <c:v>Diff</c:v>
                </c:pt>
              </c:strCache>
            </c:strRef>
          </c:cat>
          <c:val>
            <c:numRef>
              <c:f>'DB (2)'!$S$35:$T$35</c:f>
              <c:numCache>
                <c:formatCode>0.0%</c:formatCode>
                <c:ptCount val="2"/>
                <c:pt idx="0">
                  <c:v>1.2649006622516556</c:v>
                </c:pt>
                <c:pt idx="1">
                  <c:v>0</c:v>
                </c:pt>
              </c:numCache>
            </c:numRef>
          </c:val>
          <c:extLst>
            <c:ext xmlns:c16="http://schemas.microsoft.com/office/drawing/2014/chart" uri="{C3380CC4-5D6E-409C-BE32-E72D297353CC}">
              <c16:uniqueId val="{00000004-8E43-4CFA-94F7-A09E1DD2795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728E-4A0C-B5CB-96D2961D7AB4}"/>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728E-4A0C-B5CB-96D2961D7AB4}"/>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728E-4A0C-B5CB-96D2961D7AB4}"/>
                </c:ext>
              </c:extLst>
            </c:dLbl>
            <c:dLbl>
              <c:idx val="1"/>
              <c:delete val="1"/>
              <c:extLst>
                <c:ext xmlns:c15="http://schemas.microsoft.com/office/drawing/2012/chart" uri="{CE6537A1-D6FC-4f65-9D91-7224C49458BB}"/>
                <c:ext xmlns:c16="http://schemas.microsoft.com/office/drawing/2014/chart" uri="{C3380CC4-5D6E-409C-BE32-E72D297353CC}">
                  <c16:uniqueId val="{00000003-728E-4A0C-B5CB-96D2961D7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(2)'!$E$8:$F$8</c:f>
              <c:strCache>
                <c:ptCount val="2"/>
                <c:pt idx="0">
                  <c:v>%Ach</c:v>
                </c:pt>
                <c:pt idx="1">
                  <c:v>Diff</c:v>
                </c:pt>
              </c:strCache>
            </c:strRef>
          </c:cat>
          <c:val>
            <c:numRef>
              <c:f>'DB (2)'!$E$9:$F$9</c:f>
              <c:numCache>
                <c:formatCode>0.0%</c:formatCode>
                <c:ptCount val="2"/>
                <c:pt idx="0">
                  <c:v>1.0313953488372094</c:v>
                </c:pt>
                <c:pt idx="1">
                  <c:v>0</c:v>
                </c:pt>
              </c:numCache>
            </c:numRef>
          </c:val>
          <c:extLst>
            <c:ext xmlns:c16="http://schemas.microsoft.com/office/drawing/2014/chart" uri="{C3380CC4-5D6E-409C-BE32-E72D297353CC}">
              <c16:uniqueId val="{00000004-728E-4A0C-B5CB-96D2961D7AB4}"/>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3C1-4498-B3A4-A53D1D9E6A3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3C1-4498-B3A4-A53D1D9E6A3C}"/>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3C1-4498-B3A4-A53D1D9E6A3C}"/>
                </c:ext>
              </c:extLst>
            </c:dLbl>
            <c:dLbl>
              <c:idx val="1"/>
              <c:delete val="1"/>
              <c:extLst>
                <c:ext xmlns:c15="http://schemas.microsoft.com/office/drawing/2012/chart" uri="{CE6537A1-D6FC-4f65-9D91-7224C49458BB}"/>
                <c:ext xmlns:c16="http://schemas.microsoft.com/office/drawing/2014/chart" uri="{C3380CC4-5D6E-409C-BE32-E72D297353CC}">
                  <c16:uniqueId val="{00000003-33C1-4498-B3A4-A53D1D9E6A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(2)'!$J$8:$K$8</c:f>
              <c:strCache>
                <c:ptCount val="2"/>
                <c:pt idx="0">
                  <c:v>%Ach</c:v>
                </c:pt>
                <c:pt idx="1">
                  <c:v>Diff</c:v>
                </c:pt>
              </c:strCache>
            </c:strRef>
          </c:cat>
          <c:val>
            <c:numRef>
              <c:f>'DB (2)'!$J$9:$K$9</c:f>
              <c:numCache>
                <c:formatCode>0.0%</c:formatCode>
                <c:ptCount val="2"/>
                <c:pt idx="0">
                  <c:v>1.0777777777777777</c:v>
                </c:pt>
                <c:pt idx="1">
                  <c:v>0</c:v>
                </c:pt>
              </c:numCache>
            </c:numRef>
          </c:val>
          <c:extLst>
            <c:ext xmlns:c16="http://schemas.microsoft.com/office/drawing/2014/chart" uri="{C3380CC4-5D6E-409C-BE32-E72D297353CC}">
              <c16:uniqueId val="{00000004-33C1-4498-B3A4-A53D1D9E6A3C}"/>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0CCE-43A3-B65A-7768F9578E9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CCE-43A3-B65A-7768F9578E90}"/>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CE-43A3-B65A-7768F9578E90}"/>
                </c:ext>
              </c:extLst>
            </c:dLbl>
            <c:dLbl>
              <c:idx val="1"/>
              <c:delete val="1"/>
              <c:extLst>
                <c:ext xmlns:c15="http://schemas.microsoft.com/office/drawing/2012/chart" uri="{CE6537A1-D6FC-4f65-9D91-7224C49458BB}"/>
                <c:ext xmlns:c16="http://schemas.microsoft.com/office/drawing/2014/chart" uri="{C3380CC4-5D6E-409C-BE32-E72D297353CC}">
                  <c16:uniqueId val="{00000003-0CCE-43A3-B65A-7768F9578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(2)'!$O$8:$P$8</c:f>
              <c:strCache>
                <c:ptCount val="2"/>
                <c:pt idx="0">
                  <c:v>%Ach</c:v>
                </c:pt>
                <c:pt idx="1">
                  <c:v>Diff</c:v>
                </c:pt>
              </c:strCache>
            </c:strRef>
          </c:cat>
          <c:val>
            <c:numRef>
              <c:f>'DB (2)'!$O$9:$P$9</c:f>
              <c:numCache>
                <c:formatCode>0.0%</c:formatCode>
                <c:ptCount val="2"/>
                <c:pt idx="0">
                  <c:v>1.1184399197017492</c:v>
                </c:pt>
                <c:pt idx="1">
                  <c:v>0</c:v>
                </c:pt>
              </c:numCache>
            </c:numRef>
          </c:val>
          <c:extLst>
            <c:ext xmlns:c16="http://schemas.microsoft.com/office/drawing/2014/chart" uri="{C3380CC4-5D6E-409C-BE32-E72D297353CC}">
              <c16:uniqueId val="{00000004-0CCE-43A3-B65A-7768F9578E90}"/>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 (2)'!$L$14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(2)'!$M$14:$N$14</c:f>
              <c:numCache>
                <c:formatCode>0.0%</c:formatCode>
                <c:ptCount val="2"/>
                <c:pt idx="0">
                  <c:v>0.95964432284541723</c:v>
                </c:pt>
                <c:pt idx="1">
                  <c:v>1</c:v>
                </c:pt>
              </c:numCache>
            </c:numRef>
          </c:val>
          <c:extLst>
            <c:ext xmlns:c16="http://schemas.microsoft.com/office/drawing/2014/chart" uri="{C3380CC4-5D6E-409C-BE32-E72D297353CC}">
              <c16:uniqueId val="{00000000-790A-4715-9096-55FC49182D65}"/>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 (2)'!$L$15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(2)'!$M$15:$N$15</c:f>
              <c:numCache>
                <c:formatCode>0%</c:formatCode>
                <c:ptCount val="2"/>
                <c:pt idx="0">
                  <c:v>0.9</c:v>
                </c:pt>
                <c:pt idx="1">
                  <c:v>0.9</c:v>
                </c:pt>
              </c:numCache>
            </c:numRef>
          </c:val>
          <c:smooth val="0"/>
          <c:extLst>
            <c:ext xmlns:c16="http://schemas.microsoft.com/office/drawing/2014/chart" uri="{C3380CC4-5D6E-409C-BE32-E72D297353CC}">
              <c16:uniqueId val="{00000001-790A-4715-9096-55FC49182D65}"/>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950-41CC-A397-77DC777562F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950-41CC-A397-77DC777562F9}"/>
              </c:ext>
            </c:extLst>
          </c:dPt>
          <c:dLbls>
            <c:dLbl>
              <c:idx val="1"/>
              <c:delete val="1"/>
              <c:extLst>
                <c:ext xmlns:c15="http://schemas.microsoft.com/office/drawing/2012/chart" uri="{CE6537A1-D6FC-4f65-9D91-7224C49458BB}"/>
                <c:ext xmlns:c16="http://schemas.microsoft.com/office/drawing/2014/chart" uri="{C3380CC4-5D6E-409C-BE32-E72D297353CC}">
                  <c16:uniqueId val="{00000003-3950-41CC-A397-77DC777562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(2)'!$Q$13:$R$13</c:f>
              <c:strCache>
                <c:ptCount val="2"/>
                <c:pt idx="0">
                  <c:v>%Ach</c:v>
                </c:pt>
                <c:pt idx="1">
                  <c:v>Diff</c:v>
                </c:pt>
              </c:strCache>
            </c:strRef>
          </c:cat>
          <c:val>
            <c:numRef>
              <c:f>'DB (2)'!$Q$14:$R$14</c:f>
              <c:numCache>
                <c:formatCode>0.0%</c:formatCode>
                <c:ptCount val="2"/>
                <c:pt idx="0" formatCode="0.00%">
                  <c:v>1.0886912904696762</c:v>
                </c:pt>
                <c:pt idx="1">
                  <c:v>0</c:v>
                </c:pt>
              </c:numCache>
            </c:numRef>
          </c:val>
          <c:extLst>
            <c:ext xmlns:c16="http://schemas.microsoft.com/office/drawing/2014/chart" uri="{C3380CC4-5D6E-409C-BE32-E72D297353CC}">
              <c16:uniqueId val="{00000004-3950-41CC-A397-77DC777562F9}"/>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4EDA-4ECE-B4F1-45931F18547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EDA-4ECE-B4F1-45931F18547C}"/>
              </c:ext>
            </c:extLst>
          </c:dPt>
          <c:dLbls>
            <c:dLbl>
              <c:idx val="0"/>
              <c:layout>
                <c:manualLayout>
                  <c:x val="-0.11371808790253135"/>
                  <c:y val="3.6767672819823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DA-4ECE-B4F1-45931F18547C}"/>
                </c:ext>
              </c:extLst>
            </c:dLbl>
            <c:dLbl>
              <c:idx val="1"/>
              <c:delete val="1"/>
              <c:extLst>
                <c:ext xmlns:c15="http://schemas.microsoft.com/office/drawing/2012/chart" uri="{CE6537A1-D6FC-4f65-9D91-7224C49458BB}"/>
                <c:ext xmlns:c16="http://schemas.microsoft.com/office/drawing/2014/chart" uri="{C3380CC4-5D6E-409C-BE32-E72D297353CC}">
                  <c16:uniqueId val="{00000003-4EDA-4ECE-B4F1-45931F18547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(2)'!$F$34:$G$34</c:f>
              <c:strCache>
                <c:ptCount val="2"/>
                <c:pt idx="0">
                  <c:v>%Ach</c:v>
                </c:pt>
                <c:pt idx="1">
                  <c:v>Diff</c:v>
                </c:pt>
              </c:strCache>
            </c:strRef>
          </c:cat>
          <c:val>
            <c:numRef>
              <c:f>'DB (2)'!$F$35:$G$35</c:f>
              <c:numCache>
                <c:formatCode>0.0%</c:formatCode>
                <c:ptCount val="2"/>
                <c:pt idx="0">
                  <c:v>0.83426031717816451</c:v>
                </c:pt>
                <c:pt idx="1">
                  <c:v>0.16573968282183549</c:v>
                </c:pt>
              </c:numCache>
            </c:numRef>
          </c:val>
          <c:extLst>
            <c:ext xmlns:c16="http://schemas.microsoft.com/office/drawing/2014/chart" uri="{C3380CC4-5D6E-409C-BE32-E72D297353CC}">
              <c16:uniqueId val="{00000004-4EDA-4ECE-B4F1-45931F18547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77F-4229-948B-0F19390B355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7F-4229-948B-0F19390B355C}"/>
              </c:ext>
            </c:extLst>
          </c:dPt>
          <c:val>
            <c:numRef>
              <c:f>'DB (2)'!$V$34:$W$34</c:f>
              <c:numCache>
                <c:formatCode>0.0%</c:formatCode>
                <c:ptCount val="2"/>
                <c:pt idx="0">
                  <c:v>0.9151999999999999</c:v>
                </c:pt>
                <c:pt idx="1">
                  <c:v>8.4800000000000098E-2</c:v>
                </c:pt>
              </c:numCache>
            </c:numRef>
          </c:val>
          <c:extLst>
            <c:ext xmlns:c16="http://schemas.microsoft.com/office/drawing/2014/chart" uri="{C3380CC4-5D6E-409C-BE32-E72D297353CC}">
              <c16:uniqueId val="{00000004-177F-4229-948B-0F19390B355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TRD</a:t>
            </a:r>
          </a:p>
        </c:rich>
      </c:tx>
      <c:layout>
        <c:manualLayout>
          <c:xMode val="edge"/>
          <c:yMode val="edge"/>
          <c:x val="0.46020822397200351"/>
          <c:y val="0.11111111111111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BD4E-4578-BA94-5519457070C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D4E-4578-BA94-5519457070CE}"/>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D4E-4578-BA94-5519457070CE}"/>
                </c:ext>
              </c:extLst>
            </c:dLbl>
            <c:dLbl>
              <c:idx val="1"/>
              <c:delete val="1"/>
              <c:extLst>
                <c:ext xmlns:c15="http://schemas.microsoft.com/office/drawing/2012/chart" uri="{CE6537A1-D6FC-4f65-9D91-7224C49458BB}"/>
                <c:ext xmlns:c16="http://schemas.microsoft.com/office/drawing/2014/chart" uri="{C3380CC4-5D6E-409C-BE32-E72D297353CC}">
                  <c16:uniqueId val="{00000001-BD4E-4578-BA94-551945707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(2)'!$H$57:$I$57</c:f>
              <c:numCache>
                <c:formatCode>0%</c:formatCode>
                <c:ptCount val="2"/>
                <c:pt idx="0" formatCode="0.0%">
                  <c:v>0.56451612903225812</c:v>
                </c:pt>
                <c:pt idx="1">
                  <c:v>0.43548387096774188</c:v>
                </c:pt>
              </c:numCache>
            </c:numRef>
          </c:val>
          <c:extLst>
            <c:ext xmlns:c16="http://schemas.microsoft.com/office/drawing/2014/chart" uri="{C3380CC4-5D6E-409C-BE32-E72D297353CC}">
              <c16:uniqueId val="{00000000-BD4E-4578-BA94-5519457070CE}"/>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R9</a:t>
            </a:r>
          </a:p>
        </c:rich>
      </c:tx>
      <c:layout>
        <c:manualLayout>
          <c:xMode val="edge"/>
          <c:yMode val="edge"/>
          <c:x val="0.47102077865266839"/>
          <c:y val="9.2592592592592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1">
                <a:lumMod val="85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6AC3-4914-8E7D-F6BC75DD5D0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6AC3-4914-8E7D-F6BC75DD5D0B}"/>
              </c:ext>
            </c:extLst>
          </c:dPt>
          <c:dLbls>
            <c:dLbl>
              <c:idx val="0"/>
              <c:layout>
                <c:manualLayout>
                  <c:x val="5.833333333333333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C3-4914-8E7D-F6BC75DD5D0B}"/>
                </c:ext>
              </c:extLst>
            </c:dLbl>
            <c:dLbl>
              <c:idx val="1"/>
              <c:delete val="1"/>
              <c:extLst>
                <c:ext xmlns:c15="http://schemas.microsoft.com/office/drawing/2012/chart" uri="{CE6537A1-D6FC-4f65-9D91-7224C49458BB}"/>
                <c:ext xmlns:c16="http://schemas.microsoft.com/office/drawing/2014/chart" uri="{C3380CC4-5D6E-409C-BE32-E72D297353CC}">
                  <c16:uniqueId val="{00000002-6AC3-4914-8E7D-F6BC75DD5D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(2)'!$H$58:$I$58</c:f>
              <c:numCache>
                <c:formatCode>0%</c:formatCode>
                <c:ptCount val="2"/>
                <c:pt idx="0" formatCode="0.0%">
                  <c:v>1.2845215157353884E-2</c:v>
                </c:pt>
                <c:pt idx="1">
                  <c:v>0.98715478484264607</c:v>
                </c:pt>
              </c:numCache>
            </c:numRef>
          </c:val>
          <c:extLst>
            <c:ext xmlns:c16="http://schemas.microsoft.com/office/drawing/2014/chart" uri="{C3380CC4-5D6E-409C-BE32-E72D297353CC}">
              <c16:uniqueId val="{00000000-6AC3-4914-8E7D-F6BC75DD5D0B}"/>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26E-423F-BF7A-A5C696E7BDF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26E-423F-BF7A-A5C696E7BDFC}"/>
              </c:ext>
            </c:extLst>
          </c:dPt>
          <c:dLbls>
            <c:dLbl>
              <c:idx val="1"/>
              <c:delete val="1"/>
              <c:extLst>
                <c:ext xmlns:c15="http://schemas.microsoft.com/office/drawing/2012/chart" uri="{CE6537A1-D6FC-4f65-9D91-7224C49458BB}"/>
                <c:ext xmlns:c16="http://schemas.microsoft.com/office/drawing/2014/chart" uri="{C3380CC4-5D6E-409C-BE32-E72D297353CC}">
                  <c16:uniqueId val="{00000003-526E-423F-BF7A-A5C696E7BDF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DB!$M$34:$N$34</c:f>
              <c:strCache>
                <c:ptCount val="2"/>
                <c:pt idx="0">
                  <c:v>%Ach</c:v>
                </c:pt>
                <c:pt idx="1">
                  <c:v>Diff</c:v>
                </c:pt>
              </c:strCache>
            </c:strRef>
          </c:cat>
          <c:val>
            <c:numRef>
              <c:f>DB!$M$35:$N$35</c:f>
              <c:numCache>
                <c:formatCode>0.0%</c:formatCode>
                <c:ptCount val="2"/>
                <c:pt idx="0">
                  <c:v>0.97297297297297292</c:v>
                </c:pt>
                <c:pt idx="1">
                  <c:v>2.7027027027027084E-2</c:v>
                </c:pt>
              </c:numCache>
            </c:numRef>
          </c:val>
          <c:extLst>
            <c:ext xmlns:c16="http://schemas.microsoft.com/office/drawing/2014/chart" uri="{C3380CC4-5D6E-409C-BE32-E72D297353CC}">
              <c16:uniqueId val="{00000004-526E-423F-BF7A-A5C696E7BDF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CDE1-44B8-B4C2-A567A2F1C3D3}"/>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DE1-44B8-B4C2-A567A2F1C3D3}"/>
              </c:ext>
            </c:extLst>
          </c:dPt>
          <c:dLbls>
            <c:dLbl>
              <c:idx val="1"/>
              <c:delete val="1"/>
              <c:extLst>
                <c:ext xmlns:c15="http://schemas.microsoft.com/office/drawing/2012/chart" uri="{CE6537A1-D6FC-4f65-9D91-7224C49458BB}"/>
                <c:ext xmlns:c16="http://schemas.microsoft.com/office/drawing/2014/chart" uri="{C3380CC4-5D6E-409C-BE32-E72D297353CC}">
                  <c16:uniqueId val="{00000003-CDE1-44B8-B4C2-A567A2F1C3D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DB!$S$34:$T$34</c:f>
              <c:strCache>
                <c:ptCount val="2"/>
                <c:pt idx="0">
                  <c:v>%Ach</c:v>
                </c:pt>
                <c:pt idx="1">
                  <c:v>Diff</c:v>
                </c:pt>
              </c:strCache>
            </c:strRef>
          </c:cat>
          <c:val>
            <c:numRef>
              <c:f>DB!$S$35:$T$35</c:f>
              <c:numCache>
                <c:formatCode>0.0%</c:formatCode>
                <c:ptCount val="2"/>
                <c:pt idx="0">
                  <c:v>0.41422594142259417</c:v>
                </c:pt>
                <c:pt idx="1">
                  <c:v>0.58577405857740583</c:v>
                </c:pt>
              </c:numCache>
            </c:numRef>
          </c:val>
          <c:extLst>
            <c:ext xmlns:c16="http://schemas.microsoft.com/office/drawing/2014/chart" uri="{C3380CC4-5D6E-409C-BE32-E72D297353CC}">
              <c16:uniqueId val="{00000004-CDE1-44B8-B4C2-A567A2F1C3D3}"/>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3EE0-4CA1-84E6-8074AFFBAFC8}"/>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3EE0-4CA1-84E6-8074AFFBAFC8}"/>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EE0-4CA1-84E6-8074AFFBAFC8}"/>
                </c:ext>
              </c:extLst>
            </c:dLbl>
            <c:dLbl>
              <c:idx val="1"/>
              <c:delete val="1"/>
              <c:extLst>
                <c:ext xmlns:c15="http://schemas.microsoft.com/office/drawing/2012/chart" uri="{CE6537A1-D6FC-4f65-9D91-7224C49458BB}"/>
                <c:ext xmlns:c16="http://schemas.microsoft.com/office/drawing/2014/chart" uri="{C3380CC4-5D6E-409C-BE32-E72D297353CC}">
                  <c16:uniqueId val="{00000001-3EE0-4CA1-84E6-8074AFFBA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DB!$E$8:$F$8</c:f>
              <c:strCache>
                <c:ptCount val="2"/>
                <c:pt idx="0">
                  <c:v>%Ach</c:v>
                </c:pt>
                <c:pt idx="1">
                  <c:v>Diff</c:v>
                </c:pt>
              </c:strCache>
            </c:strRef>
          </c:cat>
          <c:val>
            <c:numRef>
              <c:f>DB!$E$9:$F$9</c:f>
              <c:numCache>
                <c:formatCode>0.0%</c:formatCode>
                <c:ptCount val="2"/>
                <c:pt idx="0">
                  <c:v>1.0900000000000001</c:v>
                </c:pt>
                <c:pt idx="1">
                  <c:v>0</c:v>
                </c:pt>
              </c:numCache>
            </c:numRef>
          </c:val>
          <c:extLst>
            <c:ext xmlns:c16="http://schemas.microsoft.com/office/drawing/2014/chart" uri="{C3380CC4-5D6E-409C-BE32-E72D297353CC}">
              <c16:uniqueId val="{00000000-3EE0-4CA1-84E6-8074AFFBAFC8}"/>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B44-4A42-A254-23411942FB4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B44-4A42-A254-23411942FB42}"/>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B44-4A42-A254-23411942FB42}"/>
                </c:ext>
              </c:extLst>
            </c:dLbl>
            <c:dLbl>
              <c:idx val="1"/>
              <c:delete val="1"/>
              <c:extLst>
                <c:ext xmlns:c15="http://schemas.microsoft.com/office/drawing/2012/chart" uri="{CE6537A1-D6FC-4f65-9D91-7224C49458BB}"/>
                <c:ext xmlns:c16="http://schemas.microsoft.com/office/drawing/2014/chart" uri="{C3380CC4-5D6E-409C-BE32-E72D297353CC}">
                  <c16:uniqueId val="{00000003-3B44-4A42-A254-23411942F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DB!$J$8:$K$8</c:f>
              <c:strCache>
                <c:ptCount val="2"/>
                <c:pt idx="0">
                  <c:v>%Ach</c:v>
                </c:pt>
                <c:pt idx="1">
                  <c:v>Diff</c:v>
                </c:pt>
              </c:strCache>
            </c:strRef>
          </c:cat>
          <c:val>
            <c:numRef>
              <c:f>DB!$J$9:$K$9</c:f>
              <c:numCache>
                <c:formatCode>0.0%</c:formatCode>
                <c:ptCount val="2"/>
                <c:pt idx="0">
                  <c:v>1.0863636363636364</c:v>
                </c:pt>
                <c:pt idx="1">
                  <c:v>0</c:v>
                </c:pt>
              </c:numCache>
            </c:numRef>
          </c:val>
          <c:extLst>
            <c:ext xmlns:c16="http://schemas.microsoft.com/office/drawing/2014/chart" uri="{C3380CC4-5D6E-409C-BE32-E72D297353CC}">
              <c16:uniqueId val="{00000004-3B44-4A42-A254-23411942FB42}"/>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96B7-4C6F-891B-F75597C007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6B7-4C6F-891B-F75597C0074F}"/>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B7-4C6F-891B-F75597C0074F}"/>
                </c:ext>
              </c:extLst>
            </c:dLbl>
            <c:dLbl>
              <c:idx val="1"/>
              <c:delete val="1"/>
              <c:extLst>
                <c:ext xmlns:c15="http://schemas.microsoft.com/office/drawing/2012/chart" uri="{CE6537A1-D6FC-4f65-9D91-7224C49458BB}"/>
                <c:ext xmlns:c16="http://schemas.microsoft.com/office/drawing/2014/chart" uri="{C3380CC4-5D6E-409C-BE32-E72D297353CC}">
                  <c16:uniqueId val="{00000003-96B7-4C6F-891B-F75597C007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DB!$O$8:$P$8</c:f>
              <c:strCache>
                <c:ptCount val="2"/>
                <c:pt idx="0">
                  <c:v>%Ach</c:v>
                </c:pt>
                <c:pt idx="1">
                  <c:v>Diff</c:v>
                </c:pt>
              </c:strCache>
            </c:strRef>
          </c:cat>
          <c:val>
            <c:numRef>
              <c:f>DB!$O$9:$P$9</c:f>
              <c:numCache>
                <c:formatCode>0.0%</c:formatCode>
                <c:ptCount val="2"/>
                <c:pt idx="0">
                  <c:v>0.99984377441024841</c:v>
                </c:pt>
                <c:pt idx="1">
                  <c:v>1.5622558975159073E-4</c:v>
                </c:pt>
              </c:numCache>
            </c:numRef>
          </c:val>
          <c:extLst>
            <c:ext xmlns:c16="http://schemas.microsoft.com/office/drawing/2014/chart" uri="{C3380CC4-5D6E-409C-BE32-E72D297353CC}">
              <c16:uniqueId val="{00000004-96B7-4C6F-891B-F75597C0074F}"/>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DB!$M$14:$N$14</c:f>
              <c:numCache>
                <c:formatCode>0.0%</c:formatCode>
                <c:ptCount val="2"/>
                <c:pt idx="0">
                  <c:v>1</c:v>
                </c:pt>
                <c:pt idx="1">
                  <c:v>1</c:v>
                </c:pt>
              </c:numCache>
            </c:numRef>
          </c:val>
          <c:extLst>
            <c:ext xmlns:c16="http://schemas.microsoft.com/office/drawing/2014/chart" uri="{C3380CC4-5D6E-409C-BE32-E72D297353CC}">
              <c16:uniqueId val="{00000000-3C0B-4336-957B-BC87F18B9822}"/>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DB!$M$15:$N$15</c:f>
              <c:numCache>
                <c:formatCode>0%</c:formatCode>
                <c:ptCount val="2"/>
                <c:pt idx="0">
                  <c:v>0.9</c:v>
                </c:pt>
                <c:pt idx="1">
                  <c:v>0.9</c:v>
                </c:pt>
              </c:numCache>
            </c:numRef>
          </c:val>
          <c:smooth val="0"/>
          <c:extLst>
            <c:ext xmlns:c16="http://schemas.microsoft.com/office/drawing/2014/chart" uri="{C3380CC4-5D6E-409C-BE32-E72D297353CC}">
              <c16:uniqueId val="{00000001-3C0B-4336-957B-BC87F18B9822}"/>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CA5B-44ED-95F3-F7B933C04C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A5B-44ED-95F3-F7B933C04C4F}"/>
              </c:ext>
            </c:extLst>
          </c:dPt>
          <c:dLbls>
            <c:dLbl>
              <c:idx val="0"/>
              <c:layout>
                <c:manualLayout>
                  <c:x val="-9.4540544121775039E-3"/>
                  <c:y val="4.159366872145086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5B-44ED-95F3-F7B933C04C4F}"/>
                </c:ext>
              </c:extLst>
            </c:dLbl>
            <c:dLbl>
              <c:idx val="1"/>
              <c:delete val="1"/>
              <c:extLst>
                <c:ext xmlns:c15="http://schemas.microsoft.com/office/drawing/2012/chart" uri="{CE6537A1-D6FC-4f65-9D91-7224C49458BB}"/>
                <c:ext xmlns:c16="http://schemas.microsoft.com/office/drawing/2014/chart" uri="{C3380CC4-5D6E-409C-BE32-E72D297353CC}">
                  <c16:uniqueId val="{00000001-CA5B-44ED-95F3-F7B933C04C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DB!$Q$13:$R$13</c:f>
              <c:strCache>
                <c:ptCount val="2"/>
                <c:pt idx="0">
                  <c:v>%Ach</c:v>
                </c:pt>
                <c:pt idx="1">
                  <c:v>Diff</c:v>
                </c:pt>
              </c:strCache>
            </c:strRef>
          </c:cat>
          <c:val>
            <c:numRef>
              <c:f>DB!$Q$14:$R$14</c:f>
              <c:numCache>
                <c:formatCode>0.0%</c:formatCode>
                <c:ptCount val="2"/>
                <c:pt idx="0" formatCode="0.00%">
                  <c:v>1.1111111111111112</c:v>
                </c:pt>
                <c:pt idx="1">
                  <c:v>0</c:v>
                </c:pt>
              </c:numCache>
            </c:numRef>
          </c:val>
          <c:extLst>
            <c:ext xmlns:c16="http://schemas.microsoft.com/office/drawing/2014/chart" uri="{C3380CC4-5D6E-409C-BE32-E72D297353CC}">
              <c16:uniqueId val="{00000000-CA5B-44ED-95F3-F7B933C04C4F}"/>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2C9F-467D-B187-80C86A3D96A1}"/>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2C9F-467D-B187-80C86A3D96A1}"/>
              </c:ext>
            </c:extLst>
          </c:dPt>
          <c:dLbls>
            <c:dLbl>
              <c:idx val="1"/>
              <c:delete val="1"/>
              <c:extLst>
                <c:ext xmlns:c15="http://schemas.microsoft.com/office/drawing/2012/chart" uri="{CE6537A1-D6FC-4f65-9D91-7224C49458BB}"/>
                <c:ext xmlns:c16="http://schemas.microsoft.com/office/drawing/2014/chart" uri="{C3380CC4-5D6E-409C-BE32-E72D297353CC}">
                  <c16:uniqueId val="{00000001-2C9F-467D-B187-80C86A3D96A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DB!$F$34:$G$34</c:f>
              <c:strCache>
                <c:ptCount val="2"/>
                <c:pt idx="0">
                  <c:v>%Ach</c:v>
                </c:pt>
                <c:pt idx="1">
                  <c:v>Diff</c:v>
                </c:pt>
              </c:strCache>
            </c:strRef>
          </c:cat>
          <c:val>
            <c:numRef>
              <c:f>DB!$F$35:$G$35</c:f>
              <c:numCache>
                <c:formatCode>0.0%</c:formatCode>
                <c:ptCount val="2"/>
                <c:pt idx="0">
                  <c:v>0.51793794117647063</c:v>
                </c:pt>
                <c:pt idx="1">
                  <c:v>0.48206205882352937</c:v>
                </c:pt>
              </c:numCache>
            </c:numRef>
          </c:val>
          <c:extLst>
            <c:ext xmlns:c16="http://schemas.microsoft.com/office/drawing/2014/chart" uri="{C3380CC4-5D6E-409C-BE32-E72D297353CC}">
              <c16:uniqueId val="{00000000-2C9F-467D-B187-80C86A3D96A1}"/>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33-408C-876B-1D1835EA2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33-408C-876B-1D1835EA29BC}"/>
              </c:ext>
            </c:extLst>
          </c:dPt>
          <c:val>
            <c:numRef>
              <c:f>DB!$V$34:$W$34</c:f>
              <c:numCache>
                <c:formatCode>0.0%</c:formatCode>
                <c:ptCount val="2"/>
                <c:pt idx="0">
                  <c:v>0.63514641893577961</c:v>
                </c:pt>
                <c:pt idx="1">
                  <c:v>0.36485358106422039</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6D0-4C02-A16D-02EFF67B341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6D0-4C02-A16D-02EFF67B3410}"/>
              </c:ext>
            </c:extLst>
          </c:dPt>
          <c:val>
            <c:numRef>
              <c:f>DB!$V$34:$W$34</c:f>
              <c:numCache>
                <c:formatCode>0.0%</c:formatCode>
                <c:ptCount val="2"/>
                <c:pt idx="0">
                  <c:v>0.63514641893577961</c:v>
                </c:pt>
                <c:pt idx="1">
                  <c:v>0.36485358106422039</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Sheet2!$C$76</c:f>
              <c:strCache>
                <c:ptCount val="1"/>
                <c:pt idx="0">
                  <c:v>NIC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69C-46D1-BAC4-ADCBF39E47C3}"/>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C69C-46D1-BAC4-ADCBF39E47C3}"/>
              </c:ext>
            </c:extLst>
          </c:dPt>
          <c:dLbls>
            <c:delete val="1"/>
          </c:dLbls>
          <c:val>
            <c:numRef>
              <c:f>Sheet2!$D$76:$E$76</c:f>
              <c:numCache>
                <c:formatCode>0.0%</c:formatCode>
                <c:ptCount val="2"/>
                <c:pt idx="0" formatCode="0%">
                  <c:v>0.62440949534513046</c:v>
                </c:pt>
                <c:pt idx="1">
                  <c:v>0.37559050465486954</c:v>
                </c:pt>
              </c:numCache>
            </c:numRef>
          </c:val>
          <c:extLst>
            <c:ext xmlns:c16="http://schemas.microsoft.com/office/drawing/2014/chart" uri="{C3380CC4-5D6E-409C-BE32-E72D297353CC}">
              <c16:uniqueId val="{00000000-C69C-46D1-BAC4-ADCBF39E47C3}"/>
            </c:ext>
          </c:extLst>
        </c:ser>
        <c:dLbls>
          <c:showLegendKey val="0"/>
          <c:showVal val="1"/>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9793-434C-8602-6E0CE732225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9793-434C-8602-6E0CE732225B}"/>
              </c:ext>
            </c:extLst>
          </c:dPt>
          <c:dLbls>
            <c:dLbl>
              <c:idx val="0"/>
              <c:layout>
                <c:manualLayout>
                  <c:x val="0.05"/>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93-434C-8602-6E0CE732225B}"/>
                </c:ext>
              </c:extLst>
            </c:dLbl>
            <c:dLbl>
              <c:idx val="1"/>
              <c:delete val="1"/>
              <c:extLst>
                <c:ext xmlns:c15="http://schemas.microsoft.com/office/drawing/2012/chart" uri="{CE6537A1-D6FC-4f65-9D91-7224C49458BB}"/>
                <c:ext xmlns:c16="http://schemas.microsoft.com/office/drawing/2014/chart" uri="{C3380CC4-5D6E-409C-BE32-E72D297353CC}">
                  <c16:uniqueId val="{00000001-9793-434C-8602-6E0CE73222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Sheet2!$T$78:$U$78</c:f>
              <c:numCache>
                <c:formatCode>0.0%</c:formatCode>
                <c:ptCount val="2"/>
                <c:pt idx="0">
                  <c:v>1.2845215157353884E-2</c:v>
                </c:pt>
                <c:pt idx="1">
                  <c:v>0.98715478484264607</c:v>
                </c:pt>
              </c:numCache>
            </c:numRef>
          </c:val>
          <c:extLst>
            <c:ext xmlns:c16="http://schemas.microsoft.com/office/drawing/2014/chart" uri="{C3380CC4-5D6E-409C-BE32-E72D297353CC}">
              <c16:uniqueId val="{00000000-9793-434C-8602-6E0CE732225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Tracking!$C$7</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Tracking!$C$8:$C$16</c:f>
              <c:numCache>
                <c:formatCode>0%</c:formatCode>
                <c:ptCount val="9"/>
                <c:pt idx="0">
                  <c:v>0.7</c:v>
                </c:pt>
                <c:pt idx="1">
                  <c:v>0.7</c:v>
                </c:pt>
                <c:pt idx="2">
                  <c:v>0.7</c:v>
                </c:pt>
                <c:pt idx="3">
                  <c:v>0.7</c:v>
                </c:pt>
                <c:pt idx="4">
                  <c:v>0.7</c:v>
                </c:pt>
                <c:pt idx="5">
                  <c:v>0.7</c:v>
                </c:pt>
                <c:pt idx="6">
                  <c:v>0.7</c:v>
                </c:pt>
                <c:pt idx="7">
                  <c:v>0.7</c:v>
                </c:pt>
                <c:pt idx="8">
                  <c:v>0.7</c:v>
                </c:pt>
              </c:numCache>
            </c:numRef>
          </c:val>
          <c:smooth val="0"/>
          <c:extLst>
            <c:ext xmlns:c16="http://schemas.microsoft.com/office/drawing/2014/chart" uri="{C3380CC4-5D6E-409C-BE32-E72D297353CC}">
              <c16:uniqueId val="{00000000-3E81-4ED1-AA68-660ED2D261E7}"/>
            </c:ext>
          </c:extLst>
        </c:ser>
        <c:ser>
          <c:idx val="1"/>
          <c:order val="1"/>
          <c:tx>
            <c:strRef>
              <c:f>Tracking!$D$7</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Tracking!$D$8:$D$16</c:f>
              <c:numCache>
                <c:formatCode>0.0%</c:formatCode>
                <c:ptCount val="9"/>
                <c:pt idx="0">
                  <c:v>0.80400000000000005</c:v>
                </c:pt>
                <c:pt idx="1">
                  <c:v>0.79</c:v>
                </c:pt>
                <c:pt idx="2">
                  <c:v>0.76100000000000001</c:v>
                </c:pt>
                <c:pt idx="3">
                  <c:v>0.76300000000000001</c:v>
                </c:pt>
                <c:pt idx="4">
                  <c:v>0</c:v>
                </c:pt>
                <c:pt idx="5">
                  <c:v>0</c:v>
                </c:pt>
                <c:pt idx="6">
                  <c:v>0</c:v>
                </c:pt>
                <c:pt idx="7">
                  <c:v>0</c:v>
                </c:pt>
                <c:pt idx="8">
                  <c:v>0</c:v>
                </c:pt>
              </c:numCache>
            </c:numRef>
          </c:val>
          <c:smooth val="0"/>
          <c:extLst>
            <c:ext xmlns:c16="http://schemas.microsoft.com/office/drawing/2014/chart" uri="{C3380CC4-5D6E-409C-BE32-E72D297353CC}">
              <c16:uniqueId val="{00000001-3E81-4ED1-AA68-660ED2D261E7}"/>
            </c:ext>
          </c:extLst>
        </c:ser>
        <c:dLbls>
          <c:dLblPos val="t"/>
          <c:showLegendKey val="0"/>
          <c:showVal val="1"/>
          <c:showCatName val="0"/>
          <c:showSerName val="0"/>
          <c:showPercent val="0"/>
          <c:showBubbleSize val="0"/>
        </c:dLbls>
        <c:marker val="1"/>
        <c:smooth val="0"/>
        <c:axId val="1625996959"/>
        <c:axId val="1625995519"/>
      </c:lineChart>
      <c:catAx>
        <c:axId val="16259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5519"/>
        <c:crosses val="autoZero"/>
        <c:auto val="1"/>
        <c:lblAlgn val="ctr"/>
        <c:lblOffset val="100"/>
        <c:noMultiLvlLbl val="0"/>
      </c:catAx>
      <c:valAx>
        <c:axId val="162599551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Tracking!$C$22</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Tracking!$C$23:$C$31</c:f>
              <c:numCache>
                <c:formatCode>0%</c:formatCode>
                <c:ptCount val="9"/>
                <c:pt idx="0">
                  <c:v>0.88</c:v>
                </c:pt>
                <c:pt idx="1">
                  <c:v>0.88</c:v>
                </c:pt>
                <c:pt idx="2">
                  <c:v>0.88</c:v>
                </c:pt>
                <c:pt idx="3">
                  <c:v>0.88</c:v>
                </c:pt>
                <c:pt idx="4">
                  <c:v>0.88</c:v>
                </c:pt>
                <c:pt idx="5">
                  <c:v>0.88</c:v>
                </c:pt>
                <c:pt idx="6">
                  <c:v>0.88</c:v>
                </c:pt>
                <c:pt idx="7">
                  <c:v>0.88</c:v>
                </c:pt>
                <c:pt idx="8">
                  <c:v>0.88</c:v>
                </c:pt>
              </c:numCache>
            </c:numRef>
          </c:val>
          <c:smooth val="0"/>
          <c:extLst>
            <c:ext xmlns:c16="http://schemas.microsoft.com/office/drawing/2014/chart" uri="{C3380CC4-5D6E-409C-BE32-E72D297353CC}">
              <c16:uniqueId val="{00000000-608B-4A18-8FE7-FED83A881A01}"/>
            </c:ext>
          </c:extLst>
        </c:ser>
        <c:ser>
          <c:idx val="1"/>
          <c:order val="1"/>
          <c:tx>
            <c:strRef>
              <c:f>Tracking!$D$22</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Tracking!$D$23:$D$31</c:f>
              <c:numCache>
                <c:formatCode>0.0%</c:formatCode>
                <c:ptCount val="9"/>
                <c:pt idx="0">
                  <c:v>0.95299999999999996</c:v>
                </c:pt>
                <c:pt idx="1">
                  <c:v>0.96299999999999997</c:v>
                </c:pt>
                <c:pt idx="2">
                  <c:v>0.95599999999999996</c:v>
                </c:pt>
                <c:pt idx="3">
                  <c:v>0.95599999999999996</c:v>
                </c:pt>
                <c:pt idx="4">
                  <c:v>0</c:v>
                </c:pt>
                <c:pt idx="5">
                  <c:v>0</c:v>
                </c:pt>
                <c:pt idx="6">
                  <c:v>0</c:v>
                </c:pt>
                <c:pt idx="7">
                  <c:v>0</c:v>
                </c:pt>
                <c:pt idx="8">
                  <c:v>0</c:v>
                </c:pt>
              </c:numCache>
            </c:numRef>
          </c:val>
          <c:smooth val="0"/>
          <c:extLst>
            <c:ext xmlns:c16="http://schemas.microsoft.com/office/drawing/2014/chart" uri="{C3380CC4-5D6E-409C-BE32-E72D297353CC}">
              <c16:uniqueId val="{00000001-608B-4A18-8FE7-FED83A881A01}"/>
            </c:ext>
          </c:extLst>
        </c:ser>
        <c:dLbls>
          <c:dLblPos val="t"/>
          <c:showLegendKey val="0"/>
          <c:showVal val="1"/>
          <c:showCatName val="0"/>
          <c:showSerName val="0"/>
          <c:showPercent val="0"/>
          <c:showBubbleSize val="0"/>
        </c:dLbls>
        <c:marker val="1"/>
        <c:smooth val="0"/>
        <c:axId val="2014951631"/>
        <c:axId val="1834609007"/>
      </c:lineChart>
      <c:catAx>
        <c:axId val="201495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9007"/>
        <c:crosses val="autoZero"/>
        <c:auto val="1"/>
        <c:lblAlgn val="ctr"/>
        <c:lblOffset val="100"/>
        <c:noMultiLvlLbl val="0"/>
      </c:catAx>
      <c:valAx>
        <c:axId val="1834609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5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Achievement CSI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394955226184963"/>
          <c:y val="0.16551767887020163"/>
          <c:w val="0.62069598836910089"/>
          <c:h val="0.7650875022797376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7480-41B3-B8AC-1761FFE813E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7480-41B3-B8AC-1761FFE813EF}"/>
              </c:ext>
            </c:extLst>
          </c:dPt>
          <c:dLbls>
            <c:dLbl>
              <c:idx val="1"/>
              <c:delete val="1"/>
              <c:extLst>
                <c:ext xmlns:c15="http://schemas.microsoft.com/office/drawing/2012/chart" uri="{CE6537A1-D6FC-4f65-9D91-7224C49458BB}"/>
                <c:ext xmlns:c16="http://schemas.microsoft.com/office/drawing/2014/chart" uri="{C3380CC4-5D6E-409C-BE32-E72D297353CC}">
                  <c16:uniqueId val="{00000001-7480-41B3-B8AC-1761FFE813E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Tracking!$U$5:$V$5</c:f>
              <c:numCache>
                <c:formatCode>0%</c:formatCode>
                <c:ptCount val="2"/>
                <c:pt idx="0" formatCode="0.0%">
                  <c:v>1.1285714285714288</c:v>
                </c:pt>
                <c:pt idx="1">
                  <c:v>0</c:v>
                </c:pt>
              </c:numCache>
            </c:numRef>
          </c:val>
          <c:extLst>
            <c:ext xmlns:c16="http://schemas.microsoft.com/office/drawing/2014/chart" uri="{C3380CC4-5D6E-409C-BE32-E72D297353CC}">
              <c16:uniqueId val="{00000000-7480-41B3-B8AC-1761FFE813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%Achievement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85125990764802"/>
          <c:y val="0.16205873900798898"/>
          <c:w val="0.57470382889483729"/>
          <c:h val="0.7423257789891648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E55-4555-84B1-E0A38C8E4E3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5E55-4555-84B1-E0A38C8E4E3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E55-4555-84B1-E0A38C8E4E3E}"/>
                </c:ext>
              </c:extLst>
            </c:dLbl>
            <c:dLbl>
              <c:idx val="1"/>
              <c:delete val="1"/>
              <c:extLst>
                <c:ext xmlns:c15="http://schemas.microsoft.com/office/drawing/2012/chart" uri="{CE6537A1-D6FC-4f65-9D91-7224C49458BB}"/>
                <c:ext xmlns:c16="http://schemas.microsoft.com/office/drawing/2014/chart" uri="{C3380CC4-5D6E-409C-BE32-E72D297353CC}">
                  <c16:uniqueId val="{00000002-5E55-4555-84B1-E0A38C8E4E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Tracking!$U$20:$V$20</c:f>
              <c:numCache>
                <c:formatCode>0.0%</c:formatCode>
                <c:ptCount val="2"/>
                <c:pt idx="0">
                  <c:v>1.0943181818181817</c:v>
                </c:pt>
                <c:pt idx="1">
                  <c:v>0</c:v>
                </c:pt>
              </c:numCache>
            </c:numRef>
          </c:val>
          <c:extLst>
            <c:ext xmlns:c16="http://schemas.microsoft.com/office/drawing/2014/chart" uri="{C3380CC4-5D6E-409C-BE32-E72D297353CC}">
              <c16:uniqueId val="{00000000-5E55-4555-84B1-E0A38C8E4E3E}"/>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Service</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Campaign Completion</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lineChart>
        <c:grouping val="standard"/>
        <c:varyColors val="0"/>
        <c:ser>
          <c:idx val="0"/>
          <c:order val="0"/>
          <c:tx>
            <c:strRef>
              <c:f>Tracking!$C$36</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Tracking!$C$37:$C$48</c:f>
              <c:numCache>
                <c:formatCode>0%</c:formatCode>
                <c:ptCount val="12"/>
                <c:pt idx="0">
                  <c:v>0.60121026011560696</c:v>
                </c:pt>
                <c:pt idx="1">
                  <c:v>0.61427023121387292</c:v>
                </c:pt>
                <c:pt idx="2">
                  <c:v>0.62733020231213887</c:v>
                </c:pt>
                <c:pt idx="3">
                  <c:v>0.64039017341040472</c:v>
                </c:pt>
                <c:pt idx="4">
                  <c:v>0.65345014450867067</c:v>
                </c:pt>
                <c:pt idx="5">
                  <c:v>0.66651011560693663</c:v>
                </c:pt>
                <c:pt idx="6">
                  <c:v>0.67957008670520258</c:v>
                </c:pt>
                <c:pt idx="7">
                  <c:v>0.69263005780346842</c:v>
                </c:pt>
                <c:pt idx="8">
                  <c:v>0.70569002890173438</c:v>
                </c:pt>
                <c:pt idx="9">
                  <c:v>0.71875000000000033</c:v>
                </c:pt>
                <c:pt idx="10">
                  <c:v>0.73180997109826629</c:v>
                </c:pt>
                <c:pt idx="11">
                  <c:v>0.74486994219653213</c:v>
                </c:pt>
              </c:numCache>
            </c:numRef>
          </c:val>
          <c:smooth val="0"/>
          <c:extLst>
            <c:ext xmlns:c16="http://schemas.microsoft.com/office/drawing/2014/chart" uri="{C3380CC4-5D6E-409C-BE32-E72D297353CC}">
              <c16:uniqueId val="{00000000-A81C-4525-B24C-F08E9F87B537}"/>
            </c:ext>
          </c:extLst>
        </c:ser>
        <c:ser>
          <c:idx val="1"/>
          <c:order val="1"/>
          <c:tx>
            <c:strRef>
              <c:f>Tracking!$D$36</c:f>
              <c:strCache>
                <c:ptCount val="1"/>
                <c:pt idx="0">
                  <c:v>Real</c:v>
                </c:pt>
              </c:strCache>
            </c:strRef>
          </c:tx>
          <c:spPr>
            <a:ln w="28575" cap="rnd">
              <a:solidFill>
                <a:schemeClr val="tx2">
                  <a:lumMod val="90000"/>
                  <a:lumOff val="10000"/>
                </a:schemeClr>
              </a:solidFill>
              <a:round/>
            </a:ln>
            <a:effectLst/>
          </c:spPr>
          <c:marker>
            <c:symbol val="circle"/>
            <c:size val="5"/>
            <c:spPr>
              <a:solidFill>
                <a:schemeClr val="tx2"/>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Tracking!$D$37:$D$48</c:f>
              <c:numCache>
                <c:formatCode>0%</c:formatCode>
                <c:ptCount val="12"/>
                <c:pt idx="0">
                  <c:v>0.59826589595375723</c:v>
                </c:pt>
                <c:pt idx="1">
                  <c:v>0.60838150289017345</c:v>
                </c:pt>
                <c:pt idx="2">
                  <c:v>0.63294797687861271</c:v>
                </c:pt>
                <c:pt idx="3">
                  <c:v>0.66763005780346818</c:v>
                </c:pt>
                <c:pt idx="4">
                  <c:v>0.68786127167630062</c:v>
                </c:pt>
                <c:pt idx="5">
                  <c:v>0.71242774566473988</c:v>
                </c:pt>
                <c:pt idx="6">
                  <c:v>0.73988439306358378</c:v>
                </c:pt>
              </c:numCache>
            </c:numRef>
          </c:val>
          <c:smooth val="0"/>
          <c:extLst>
            <c:ext xmlns:c16="http://schemas.microsoft.com/office/drawing/2014/chart" uri="{C3380CC4-5D6E-409C-BE32-E72D297353CC}">
              <c16:uniqueId val="{00000001-A81C-4525-B24C-F08E9F87B537}"/>
            </c:ext>
          </c:extLst>
        </c:ser>
        <c:dLbls>
          <c:dLblPos val="t"/>
          <c:showLegendKey val="0"/>
          <c:showVal val="1"/>
          <c:showCatName val="0"/>
          <c:showSerName val="0"/>
          <c:showPercent val="0"/>
          <c:showBubbleSize val="0"/>
        </c:dLbls>
        <c:marker val="1"/>
        <c:smooth val="0"/>
        <c:axId val="1085386895"/>
        <c:axId val="1085400335"/>
      </c:lineChart>
      <c:catAx>
        <c:axId val="10853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0335"/>
        <c:crosses val="autoZero"/>
        <c:auto val="1"/>
        <c:lblAlgn val="ctr"/>
        <c:lblOffset val="100"/>
        <c:noMultiLvlLbl val="0"/>
      </c:catAx>
      <c:valAx>
        <c:axId val="1085400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38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%Achiev. Service Campaing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8310166913732359"/>
          <c:y val="0.15730924620554942"/>
          <c:w val="0.61749706408948279"/>
          <c:h val="0.77829368016209077"/>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0420-4AD1-833D-D88FECA78FE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0420-4AD1-833D-D88FECA78FE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420-4AD1-833D-D88FECA78FE9}"/>
                </c:ext>
              </c:extLst>
            </c:dLbl>
            <c:dLbl>
              <c:idx val="1"/>
              <c:delete val="1"/>
              <c:extLst>
                <c:ext xmlns:c15="http://schemas.microsoft.com/office/drawing/2012/chart" uri="{CE6537A1-D6FC-4f65-9D91-7224C49458BB}"/>
                <c:ext xmlns:c16="http://schemas.microsoft.com/office/drawing/2014/chart" uri="{C3380CC4-5D6E-409C-BE32-E72D297353CC}">
                  <c16:uniqueId val="{00000001-0420-4AD1-833D-D88FECA78F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Tracking!$U$35:$V$35</c:f>
              <c:numCache>
                <c:formatCode>0.0%</c:formatCode>
                <c:ptCount val="2"/>
                <c:pt idx="0">
                  <c:v>0.92954225902202792</c:v>
                </c:pt>
                <c:pt idx="1">
                  <c:v>7.0457740977972083E-2</c:v>
                </c:pt>
              </c:numCache>
            </c:numRef>
          </c:val>
          <c:extLst>
            <c:ext xmlns:c16="http://schemas.microsoft.com/office/drawing/2014/chart" uri="{C3380CC4-5D6E-409C-BE32-E72D297353CC}">
              <c16:uniqueId val="{00000000-0420-4AD1-833D-D88FECA78FE9}"/>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Tracking!$C$53</c:f>
              <c:strCache>
                <c:ptCount val="1"/>
                <c:pt idx="0">
                  <c:v>Target</c:v>
                </c:pt>
              </c:strCache>
            </c:strRef>
          </c:tx>
          <c:spPr>
            <a:ln w="28575" cap="rnd">
              <a:solidFill>
                <a:srgbClr val="C00000"/>
              </a:solidFill>
              <a:prstDash val="dash"/>
              <a:round/>
            </a:ln>
            <a:effectLst/>
          </c:spPr>
          <c:marker>
            <c:symbol val="circle"/>
            <c:size val="5"/>
            <c:spPr>
              <a:solidFill>
                <a:srgbClr val="C00000"/>
              </a:solidFill>
              <a:ln w="9525">
                <a:solidFill>
                  <a:srgbClr val="C00000"/>
                </a:solidFill>
                <a:prstDash val="dash"/>
              </a:ln>
              <a:effectLst/>
            </c:spPr>
          </c:marker>
          <c:dLbls>
            <c:delete val="1"/>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Tracking!$C$54:$C$62</c:f>
              <c:numCache>
                <c:formatCode>0%</c:formatCode>
                <c:ptCount val="9"/>
                <c:pt idx="0">
                  <c:v>0.9</c:v>
                </c:pt>
                <c:pt idx="1">
                  <c:v>0.9</c:v>
                </c:pt>
                <c:pt idx="2">
                  <c:v>0.9</c:v>
                </c:pt>
                <c:pt idx="3">
                  <c:v>0.9</c:v>
                </c:pt>
                <c:pt idx="4">
                  <c:v>0.9</c:v>
                </c:pt>
                <c:pt idx="5">
                  <c:v>0.9</c:v>
                </c:pt>
                <c:pt idx="6">
                  <c:v>0.9</c:v>
                </c:pt>
                <c:pt idx="7">
                  <c:v>0.9</c:v>
                </c:pt>
                <c:pt idx="8">
                  <c:v>0.9</c:v>
                </c:pt>
              </c:numCache>
            </c:numRef>
          </c:val>
          <c:smooth val="0"/>
          <c:extLst>
            <c:ext xmlns:c16="http://schemas.microsoft.com/office/drawing/2014/chart" uri="{C3380CC4-5D6E-409C-BE32-E72D297353CC}">
              <c16:uniqueId val="{00000000-E8AD-40AB-805D-DEF0433B681D}"/>
            </c:ext>
          </c:extLst>
        </c:ser>
        <c:ser>
          <c:idx val="1"/>
          <c:order val="1"/>
          <c:tx>
            <c:strRef>
              <c:f>Tracking!$D$53</c:f>
              <c:strCache>
                <c:ptCount val="1"/>
                <c:pt idx="0">
                  <c:v>Real AS</c:v>
                </c:pt>
              </c:strCache>
            </c:strRef>
          </c:tx>
          <c:spPr>
            <a:ln w="28575" cap="rnd">
              <a:solidFill>
                <a:schemeClr val="tx2">
                  <a:lumMod val="90000"/>
                  <a:lumOff val="10000"/>
                </a:schemeClr>
              </a:solidFill>
              <a:round/>
            </a:ln>
            <a:effectLst/>
          </c:spPr>
          <c:marker>
            <c:symbol val="circle"/>
            <c:size val="5"/>
            <c:spPr>
              <a:solidFill>
                <a:schemeClr val="tx2">
                  <a:lumMod val="90000"/>
                  <a:lumOff val="10000"/>
                </a:schemeClr>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Tracking!$D$54:$D$62</c:f>
              <c:numCache>
                <c:formatCode>0%</c:formatCode>
                <c:ptCount val="9"/>
                <c:pt idx="0">
                  <c:v>1</c:v>
                </c:pt>
                <c:pt idx="1">
                  <c:v>1</c:v>
                </c:pt>
                <c:pt idx="2">
                  <c:v>1</c:v>
                </c:pt>
                <c:pt idx="3">
                  <c:v>1</c:v>
                </c:pt>
                <c:pt idx="4">
                  <c:v>0</c:v>
                </c:pt>
                <c:pt idx="5">
                  <c:v>0</c:v>
                </c:pt>
                <c:pt idx="6">
                  <c:v>0</c:v>
                </c:pt>
                <c:pt idx="7">
                  <c:v>0</c:v>
                </c:pt>
                <c:pt idx="8">
                  <c:v>0</c:v>
                </c:pt>
              </c:numCache>
            </c:numRef>
          </c:val>
          <c:smooth val="0"/>
          <c:extLst>
            <c:ext xmlns:c16="http://schemas.microsoft.com/office/drawing/2014/chart" uri="{C3380CC4-5D6E-409C-BE32-E72D297353CC}">
              <c16:uniqueId val="{00000001-E8AD-40AB-805D-DEF0433B681D}"/>
            </c:ext>
          </c:extLst>
        </c:ser>
        <c:ser>
          <c:idx val="2"/>
          <c:order val="2"/>
          <c:tx>
            <c:strRef>
              <c:f>Tracking!$E$53</c:f>
              <c:strCache>
                <c:ptCount val="1"/>
                <c:pt idx="0">
                  <c:v>Real Sales</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Tracking!$E$54:$E$62</c:f>
              <c:numCache>
                <c:formatCode>0%</c:formatCode>
                <c:ptCount val="9"/>
                <c:pt idx="0">
                  <c:v>1</c:v>
                </c:pt>
                <c:pt idx="1">
                  <c:v>1</c:v>
                </c:pt>
                <c:pt idx="2">
                  <c:v>1</c:v>
                </c:pt>
                <c:pt idx="3">
                  <c:v>1</c:v>
                </c:pt>
                <c:pt idx="4">
                  <c:v>0</c:v>
                </c:pt>
                <c:pt idx="5">
                  <c:v>0</c:v>
                </c:pt>
                <c:pt idx="6">
                  <c:v>0</c:v>
                </c:pt>
                <c:pt idx="7">
                  <c:v>0</c:v>
                </c:pt>
                <c:pt idx="8">
                  <c:v>0</c:v>
                </c:pt>
              </c:numCache>
            </c:numRef>
          </c:val>
          <c:smooth val="0"/>
          <c:extLst>
            <c:ext xmlns:c16="http://schemas.microsoft.com/office/drawing/2014/chart" uri="{C3380CC4-5D6E-409C-BE32-E72D297353CC}">
              <c16:uniqueId val="{00000002-E8AD-40AB-805D-DEF0433B681D}"/>
            </c:ext>
          </c:extLst>
        </c:ser>
        <c:dLbls>
          <c:dLblPos val="t"/>
          <c:showLegendKey val="0"/>
          <c:showVal val="1"/>
          <c:showCatName val="0"/>
          <c:showSerName val="0"/>
          <c:showPercent val="0"/>
          <c:showBubbleSize val="0"/>
        </c:dLbls>
        <c:marker val="1"/>
        <c:smooth val="0"/>
        <c:axId val="1087429615"/>
        <c:axId val="1087423855"/>
      </c:lineChart>
      <c:catAx>
        <c:axId val="108742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3855"/>
        <c:crosses val="autoZero"/>
        <c:auto val="1"/>
        <c:lblAlgn val="ctr"/>
        <c:lblOffset val="100"/>
        <c:noMultiLvlLbl val="0"/>
      </c:catAx>
      <c:valAx>
        <c:axId val="1087423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9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Lead</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Management</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947974840149389"/>
          <c:y val="0.13947283243294598"/>
          <c:w val="0.59205371905604309"/>
          <c:h val="0.75421100327247326"/>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4EF6-43C6-A586-749BC4086EA3}"/>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4EF6-43C6-A586-749BC4086EA3}"/>
              </c:ext>
            </c:extLst>
          </c:dPt>
          <c:dLbls>
            <c:dLbl>
              <c:idx val="0"/>
              <c:delete val="1"/>
              <c:extLst>
                <c:ext xmlns:c15="http://schemas.microsoft.com/office/drawing/2012/chart" uri="{CE6537A1-D6FC-4f65-9D91-7224C49458BB}"/>
                <c:ext xmlns:c16="http://schemas.microsoft.com/office/drawing/2014/chart" uri="{C3380CC4-5D6E-409C-BE32-E72D297353CC}">
                  <c16:uniqueId val="{00000001-4EF6-43C6-A586-749BC4086E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Tracking!$D$78:$E$78</c:f>
              <c:numCache>
                <c:formatCode>0.0%</c:formatCode>
                <c:ptCount val="2"/>
                <c:pt idx="0">
                  <c:v>0.4</c:v>
                </c:pt>
                <c:pt idx="1">
                  <c:v>0.6</c:v>
                </c:pt>
              </c:numCache>
            </c:numRef>
          </c:val>
          <c:extLst>
            <c:ext xmlns:c16="http://schemas.microsoft.com/office/drawing/2014/chart" uri="{C3380CC4-5D6E-409C-BE32-E72D297353CC}">
              <c16:uniqueId val="{00000000-BE9E-4783-8112-9CE6857E8A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Share</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of Investment</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8-507B-4248-B21F-CEF96200844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507B-4248-B21F-CEF96200844B}"/>
              </c:ext>
            </c:extLst>
          </c:dPt>
          <c:dLbls>
            <c:delete val="1"/>
          </c:dLbls>
          <c:val>
            <c:numRef>
              <c:f>Tracking!$O$67:$O$68</c:f>
              <c:numCache>
                <c:formatCode>0%</c:formatCode>
                <c:ptCount val="2"/>
                <c:pt idx="0">
                  <c:v>0.5</c:v>
                </c:pt>
                <c:pt idx="1">
                  <c:v>0.5</c:v>
                </c:pt>
              </c:numCache>
            </c:numRef>
          </c:val>
          <c:extLst>
            <c:ext xmlns:c16="http://schemas.microsoft.com/office/drawing/2014/chart" uri="{C3380CC4-5D6E-409C-BE32-E72D297353CC}">
              <c16:uniqueId val="{00000000-507B-4248-B21F-CEF96200844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360</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Game Plan</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E0C6-40FB-B507-B47A95BC07B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0C6-40FB-B507-B47A95BC07B2}"/>
              </c:ext>
            </c:extLst>
          </c:dPt>
          <c:dLbls>
            <c:delete val="1"/>
          </c:dLbls>
          <c:val>
            <c:numRef>
              <c:f>Tracking!$O$74:$O$75</c:f>
              <c:numCache>
                <c:formatCode>0%</c:formatCode>
                <c:ptCount val="2"/>
                <c:pt idx="0">
                  <c:v>0.75</c:v>
                </c:pt>
                <c:pt idx="1">
                  <c:v>0.25</c:v>
                </c:pt>
              </c:numCache>
            </c:numRef>
          </c:val>
          <c:extLst>
            <c:ext xmlns:c16="http://schemas.microsoft.com/office/drawing/2014/chart" uri="{C3380CC4-5D6E-409C-BE32-E72D297353CC}">
              <c16:uniqueId val="{00000004-E0C6-40FB-B507-B47A95BC07B2}"/>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Training</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e-Learning</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9616699242633234"/>
          <c:y val="0.158858936285518"/>
          <c:w val="0.59938343706121089"/>
          <c:h val="0.81851964167311242"/>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1707-4BF0-93BB-708167C4C596}"/>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1707-4BF0-93BB-708167C4C59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07-4BF0-93BB-708167C4C5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Tracking!$T$52:$U$52</c:f>
              <c:numCache>
                <c:formatCode>0.0%</c:formatCode>
                <c:ptCount val="2"/>
                <c:pt idx="0">
                  <c:v>1.1111111111111112</c:v>
                </c:pt>
                <c:pt idx="1">
                  <c:v>0</c:v>
                </c:pt>
              </c:numCache>
            </c:numRef>
          </c:val>
          <c:extLst>
            <c:ext xmlns:c16="http://schemas.microsoft.com/office/drawing/2014/chart" uri="{C3380CC4-5D6E-409C-BE32-E72D297353CC}">
              <c16:uniqueId val="{00000000-1707-4BF0-93BB-708167C4C59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1.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0.xml"/><Relationship Id="rId5" Type="http://schemas.openxmlformats.org/officeDocument/2006/relationships/chart" Target="../charts/chart16.xml"/><Relationship Id="rId10" Type="http://schemas.openxmlformats.org/officeDocument/2006/relationships/image" Target="../media/image2.png"/><Relationship Id="rId4" Type="http://schemas.openxmlformats.org/officeDocument/2006/relationships/chart" Target="../charts/chart15.xml"/><Relationship Id="rId9"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9.xml"/><Relationship Id="rId13"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8.xml"/><Relationship Id="rId12" Type="http://schemas.openxmlformats.org/officeDocument/2006/relationships/chart" Target="../charts/chart33.xml"/><Relationship Id="rId2" Type="http://schemas.openxmlformats.org/officeDocument/2006/relationships/image" Target="../media/image5.jpeg"/><Relationship Id="rId1" Type="http://schemas.openxmlformats.org/officeDocument/2006/relationships/chart" Target="../charts/chart24.xml"/><Relationship Id="rId6" Type="http://schemas.openxmlformats.org/officeDocument/2006/relationships/chart" Target="../charts/chart27.xml"/><Relationship Id="rId11" Type="http://schemas.openxmlformats.org/officeDocument/2006/relationships/chart" Target="../charts/chart32.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2" name="Chart 1">
          <a:extLst>
            <a:ext uri="{FF2B5EF4-FFF2-40B4-BE49-F238E27FC236}">
              <a16:creationId xmlns:a16="http://schemas.microsoft.com/office/drawing/2014/main" id="{FC0B02AA-D396-4318-AC17-A81621926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3" name="Chart 2">
          <a:extLst>
            <a:ext uri="{FF2B5EF4-FFF2-40B4-BE49-F238E27FC236}">
              <a16:creationId xmlns:a16="http://schemas.microsoft.com/office/drawing/2014/main" id="{38ADC05A-2B0C-453A-A248-A8A373C03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xdr:colOff>
      <xdr:row>2</xdr:row>
      <xdr:rowOff>7620</xdr:rowOff>
    </xdr:from>
    <xdr:to>
      <xdr:col>8</xdr:col>
      <xdr:colOff>403860</xdr:colOff>
      <xdr:row>3</xdr:row>
      <xdr:rowOff>0</xdr:rowOff>
    </xdr:to>
    <xdr:sp macro="" textlink="">
      <xdr:nvSpPr>
        <xdr:cNvPr id="4" name="TextBox 3">
          <a:extLst>
            <a:ext uri="{FF2B5EF4-FFF2-40B4-BE49-F238E27FC236}">
              <a16:creationId xmlns:a16="http://schemas.microsoft.com/office/drawing/2014/main" id="{FF9C60F0-FF60-4168-975E-65ECD70DA2FB}"/>
            </a:ext>
          </a:extLst>
        </xdr:cNvPr>
        <xdr:cNvSpPr txBox="1"/>
      </xdr:nvSpPr>
      <xdr:spPr>
        <a:xfrm>
          <a:off x="1021080" y="281940"/>
          <a:ext cx="406146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5" name="Rectangle: Rounded Corners 4">
          <a:extLst>
            <a:ext uri="{FF2B5EF4-FFF2-40B4-BE49-F238E27FC236}">
              <a16:creationId xmlns:a16="http://schemas.microsoft.com/office/drawing/2014/main" id="{5F93489F-AB91-467D-8B57-685E61E4CD5E}"/>
            </a:ext>
          </a:extLst>
        </xdr:cNvPr>
        <xdr:cNvSpPr/>
      </xdr:nvSpPr>
      <xdr:spPr>
        <a:xfrm>
          <a:off x="137160" y="981472"/>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B4060A3-F88A-4788-A51A-855411DEB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7" name="Group 6">
          <a:extLst>
            <a:ext uri="{FF2B5EF4-FFF2-40B4-BE49-F238E27FC236}">
              <a16:creationId xmlns:a16="http://schemas.microsoft.com/office/drawing/2014/main" id="{CEFB3848-884F-430A-ACE1-A4865497A8C9}"/>
            </a:ext>
          </a:extLst>
        </xdr:cNvPr>
        <xdr:cNvGrpSpPr/>
      </xdr:nvGrpSpPr>
      <xdr:grpSpPr>
        <a:xfrm>
          <a:off x="954279" y="2580736"/>
          <a:ext cx="645335" cy="446138"/>
          <a:chOff x="3444240" y="3680460"/>
          <a:chExt cx="678180" cy="462880"/>
        </a:xfrm>
      </xdr:grpSpPr>
      <xdr:sp macro="" textlink="$C$9">
        <xdr:nvSpPr>
          <xdr:cNvPr id="8" name="Rectangle 7">
            <a:extLst>
              <a:ext uri="{FF2B5EF4-FFF2-40B4-BE49-F238E27FC236}">
                <a16:creationId xmlns:a16="http://schemas.microsoft.com/office/drawing/2014/main" id="{845CC0FC-6D9E-5805-01A9-EC41EB7B072B}"/>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86.0%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TextBox 8">
            <a:extLst>
              <a:ext uri="{FF2B5EF4-FFF2-40B4-BE49-F238E27FC236}">
                <a16:creationId xmlns:a16="http://schemas.microsoft.com/office/drawing/2014/main" id="{8C9AC5DF-450D-C0DB-9CA6-783187D058DD}"/>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3795CEED-D59F-4DE1-8C5B-EE3813A4AA4C}"/>
            </a:ext>
          </a:extLst>
        </xdr:cNvPr>
        <xdr:cNvSpPr/>
      </xdr:nvSpPr>
      <xdr:spPr>
        <a:xfrm>
          <a:off x="472440" y="188976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88.7%</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69A65850-9407-4447-A6A4-9C7CBFFB04D8}"/>
            </a:ext>
          </a:extLst>
        </xdr:cNvPr>
        <xdr:cNvSpPr txBox="1"/>
      </xdr:nvSpPr>
      <xdr:spPr>
        <a:xfrm>
          <a:off x="998220" y="18288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2" name="Chart 11">
          <a:extLst>
            <a:ext uri="{FF2B5EF4-FFF2-40B4-BE49-F238E27FC236}">
              <a16:creationId xmlns:a16="http://schemas.microsoft.com/office/drawing/2014/main" id="{421B6930-3283-4105-AEA2-53D7434ED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527711D7-E9EC-4210-A99F-7298B656FAB2}"/>
            </a:ext>
          </a:extLst>
        </xdr:cNvPr>
        <xdr:cNvSpPr/>
      </xdr:nvSpPr>
      <xdr:spPr>
        <a:xfrm>
          <a:off x="2918460" y="194310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97.0%</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4" name="TextBox 13">
          <a:extLst>
            <a:ext uri="{FF2B5EF4-FFF2-40B4-BE49-F238E27FC236}">
              <a16:creationId xmlns:a16="http://schemas.microsoft.com/office/drawing/2014/main" id="{68D33EE9-7310-4073-B50A-95D936FEE81F}"/>
            </a:ext>
          </a:extLst>
        </xdr:cNvPr>
        <xdr:cNvSpPr txBox="1"/>
      </xdr:nvSpPr>
      <xdr:spPr>
        <a:xfrm>
          <a:off x="3451860" y="183642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5" name="Group 14">
          <a:extLst>
            <a:ext uri="{FF2B5EF4-FFF2-40B4-BE49-F238E27FC236}">
              <a16:creationId xmlns:a16="http://schemas.microsoft.com/office/drawing/2014/main" id="{0613C96D-5F81-4324-8EF0-BF166359B926}"/>
            </a:ext>
          </a:extLst>
        </xdr:cNvPr>
        <xdr:cNvGrpSpPr/>
      </xdr:nvGrpSpPr>
      <xdr:grpSpPr>
        <a:xfrm>
          <a:off x="3311937" y="2631982"/>
          <a:ext cx="631287" cy="440613"/>
          <a:chOff x="3444240" y="3680459"/>
          <a:chExt cx="678180" cy="462881"/>
        </a:xfrm>
      </xdr:grpSpPr>
      <xdr:sp macro="" textlink="$H$9">
        <xdr:nvSpPr>
          <xdr:cNvPr id="16" name="Rectangle 15">
            <a:extLst>
              <a:ext uri="{FF2B5EF4-FFF2-40B4-BE49-F238E27FC236}">
                <a16:creationId xmlns:a16="http://schemas.microsoft.com/office/drawing/2014/main" id="{A74AF0D7-627C-C174-5A0C-8B75EAB1940D}"/>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90.0%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 name="TextBox 16">
            <a:extLst>
              <a:ext uri="{FF2B5EF4-FFF2-40B4-BE49-F238E27FC236}">
                <a16:creationId xmlns:a16="http://schemas.microsoft.com/office/drawing/2014/main" id="{4007FB88-944F-D6FC-1435-380D9873F60F}"/>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18" name="Chart 17">
          <a:extLst>
            <a:ext uri="{FF2B5EF4-FFF2-40B4-BE49-F238E27FC236}">
              <a16:creationId xmlns:a16="http://schemas.microsoft.com/office/drawing/2014/main" id="{A0D853A6-3C4C-4BCF-9043-4E6933B67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19" name="Group 18">
          <a:extLst>
            <a:ext uri="{FF2B5EF4-FFF2-40B4-BE49-F238E27FC236}">
              <a16:creationId xmlns:a16="http://schemas.microsoft.com/office/drawing/2014/main" id="{2445E0B4-19C0-4F9B-A3E8-82A6BF6DEA57}"/>
            </a:ext>
          </a:extLst>
        </xdr:cNvPr>
        <xdr:cNvGrpSpPr/>
      </xdr:nvGrpSpPr>
      <xdr:grpSpPr>
        <a:xfrm>
          <a:off x="6730470" y="2654842"/>
          <a:ext cx="654734" cy="440613"/>
          <a:chOff x="3444240" y="3680459"/>
          <a:chExt cx="678180" cy="462881"/>
        </a:xfrm>
      </xdr:grpSpPr>
      <xdr:sp macro="" textlink="$M$9">
        <xdr:nvSpPr>
          <xdr:cNvPr id="20" name="Rectangle 19">
            <a:extLst>
              <a:ext uri="{FF2B5EF4-FFF2-40B4-BE49-F238E27FC236}">
                <a16:creationId xmlns:a16="http://schemas.microsoft.com/office/drawing/2014/main" id="{CFD0B5FE-2AAF-3BC2-2008-26E5291FD6A5}"/>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3F62CA-3FFF-4688-88C6-8B7B75D0A4AF}"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ctr"/>
              <a:t>52.0%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TextBox 20">
            <a:extLst>
              <a:ext uri="{FF2B5EF4-FFF2-40B4-BE49-F238E27FC236}">
                <a16:creationId xmlns:a16="http://schemas.microsoft.com/office/drawing/2014/main" id="{15930B4C-5C2A-1D12-BA13-B52E2E827855}"/>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22" name="TextBox 21">
          <a:extLst>
            <a:ext uri="{FF2B5EF4-FFF2-40B4-BE49-F238E27FC236}">
              <a16:creationId xmlns:a16="http://schemas.microsoft.com/office/drawing/2014/main" id="{4F62EC59-3AB6-4161-A03B-80FCD3ABE050}"/>
            </a:ext>
          </a:extLst>
        </xdr:cNvPr>
        <xdr:cNvSpPr txBox="1"/>
      </xdr:nvSpPr>
      <xdr:spPr>
        <a:xfrm>
          <a:off x="5478780" y="167640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23" name="Rectangle 22">
          <a:extLst>
            <a:ext uri="{FF2B5EF4-FFF2-40B4-BE49-F238E27FC236}">
              <a16:creationId xmlns:a16="http://schemas.microsoft.com/office/drawing/2014/main" id="{01B21117-BD7E-4A2F-A084-D125EB97B9E5}"/>
            </a:ext>
          </a:extLst>
        </xdr:cNvPr>
        <xdr:cNvSpPr/>
      </xdr:nvSpPr>
      <xdr:spPr>
        <a:xfrm>
          <a:off x="5410200" y="198882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73.8%</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24" name="Rectangle 23">
          <a:extLst>
            <a:ext uri="{FF2B5EF4-FFF2-40B4-BE49-F238E27FC236}">
              <a16:creationId xmlns:a16="http://schemas.microsoft.com/office/drawing/2014/main" id="{1733FD7C-74E0-4EF5-906E-3E241F3138C3}"/>
            </a:ext>
          </a:extLst>
        </xdr:cNvPr>
        <xdr:cNvSpPr/>
      </xdr:nvSpPr>
      <xdr:spPr>
        <a:xfrm>
          <a:off x="7520940" y="1399738"/>
          <a:ext cx="4274820" cy="2417064"/>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5" name="Chart 24">
          <a:extLst>
            <a:ext uri="{FF2B5EF4-FFF2-40B4-BE49-F238E27FC236}">
              <a16:creationId xmlns:a16="http://schemas.microsoft.com/office/drawing/2014/main" id="{10868F9D-C4E7-4ED5-9D96-F3424F2C6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6" name="Chart 25">
          <a:extLst>
            <a:ext uri="{FF2B5EF4-FFF2-40B4-BE49-F238E27FC236}">
              <a16:creationId xmlns:a16="http://schemas.microsoft.com/office/drawing/2014/main" id="{88E5DF1E-E6FD-46DC-996B-25AAAA5A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7" name="Rectangle 26">
          <a:extLst>
            <a:ext uri="{FF2B5EF4-FFF2-40B4-BE49-F238E27FC236}">
              <a16:creationId xmlns:a16="http://schemas.microsoft.com/office/drawing/2014/main" id="{451D779A-0F4E-49D3-9D53-536640035DD9}"/>
            </a:ext>
          </a:extLst>
        </xdr:cNvPr>
        <xdr:cNvSpPr/>
      </xdr:nvSpPr>
      <xdr:spPr>
        <a:xfrm>
          <a:off x="10241280" y="2293620"/>
          <a:ext cx="110490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98.0%</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8" name="TextBox 27">
          <a:extLst>
            <a:ext uri="{FF2B5EF4-FFF2-40B4-BE49-F238E27FC236}">
              <a16:creationId xmlns:a16="http://schemas.microsoft.com/office/drawing/2014/main" id="{9A5FC859-3EEE-4F01-B82C-71E0C6CF4393}"/>
            </a:ext>
          </a:extLst>
        </xdr:cNvPr>
        <xdr:cNvSpPr txBox="1"/>
      </xdr:nvSpPr>
      <xdr:spPr>
        <a:xfrm>
          <a:off x="10332720" y="2621280"/>
          <a:ext cx="8686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29" name="TextBox 28">
          <a:extLst>
            <a:ext uri="{FF2B5EF4-FFF2-40B4-BE49-F238E27FC236}">
              <a16:creationId xmlns:a16="http://schemas.microsoft.com/office/drawing/2014/main" id="{092AD84C-41C7-45A8-9946-A0412BA6C9DA}"/>
            </a:ext>
          </a:extLst>
        </xdr:cNvPr>
        <xdr:cNvSpPr txBox="1"/>
      </xdr:nvSpPr>
      <xdr:spPr>
        <a:xfrm>
          <a:off x="7688580" y="1508760"/>
          <a:ext cx="2743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0" name="Rectangle: Rounded Corners 29">
          <a:extLst>
            <a:ext uri="{FF2B5EF4-FFF2-40B4-BE49-F238E27FC236}">
              <a16:creationId xmlns:a16="http://schemas.microsoft.com/office/drawing/2014/main" id="{D1AAED97-7626-4166-AACF-6E0C3AEB1F48}"/>
            </a:ext>
          </a:extLst>
        </xdr:cNvPr>
        <xdr:cNvSpPr/>
      </xdr:nvSpPr>
      <xdr:spPr>
        <a:xfrm>
          <a:off x="137160" y="3970020"/>
          <a:ext cx="14984688"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1" name="Rectangle: Rounded Corners 30">
          <a:extLst>
            <a:ext uri="{FF2B5EF4-FFF2-40B4-BE49-F238E27FC236}">
              <a16:creationId xmlns:a16="http://schemas.microsoft.com/office/drawing/2014/main" id="{8A9442AA-6783-481D-B081-0E50FF5AF6FE}"/>
            </a:ext>
          </a:extLst>
        </xdr:cNvPr>
        <xdr:cNvSpPr/>
      </xdr:nvSpPr>
      <xdr:spPr>
        <a:xfrm>
          <a:off x="137160" y="5882640"/>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32" name="Group 31">
          <a:extLst>
            <a:ext uri="{FF2B5EF4-FFF2-40B4-BE49-F238E27FC236}">
              <a16:creationId xmlns:a16="http://schemas.microsoft.com/office/drawing/2014/main" id="{3D857C0F-8031-4D9B-AA6A-4C16D6EA1B98}"/>
            </a:ext>
          </a:extLst>
        </xdr:cNvPr>
        <xdr:cNvGrpSpPr/>
      </xdr:nvGrpSpPr>
      <xdr:grpSpPr>
        <a:xfrm>
          <a:off x="377064" y="6352568"/>
          <a:ext cx="5165021" cy="2826099"/>
          <a:chOff x="377064" y="6176722"/>
          <a:chExt cx="4578867" cy="2763296"/>
        </a:xfrm>
        <a:noFill/>
      </xdr:grpSpPr>
      <xdr:graphicFrame macro="">
        <xdr:nvGraphicFramePr>
          <xdr:cNvPr id="33" name="Chart 32">
            <a:extLst>
              <a:ext uri="{FF2B5EF4-FFF2-40B4-BE49-F238E27FC236}">
                <a16:creationId xmlns:a16="http://schemas.microsoft.com/office/drawing/2014/main" id="{C498E3AE-CD6A-AB48-11F0-58926CEF157F}"/>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34" name="Group 33">
            <a:extLst>
              <a:ext uri="{FF2B5EF4-FFF2-40B4-BE49-F238E27FC236}">
                <a16:creationId xmlns:a16="http://schemas.microsoft.com/office/drawing/2014/main" id="{2656A9D2-BC30-D3F9-051E-A55485816588}"/>
              </a:ext>
            </a:extLst>
          </xdr:cNvPr>
          <xdr:cNvGrpSpPr/>
        </xdr:nvGrpSpPr>
        <xdr:grpSpPr>
          <a:xfrm>
            <a:off x="2338670" y="7811840"/>
            <a:ext cx="676757" cy="505599"/>
            <a:chOff x="1417320" y="6941820"/>
            <a:chExt cx="678180" cy="502920"/>
          </a:xfrm>
          <a:grpFill/>
        </xdr:grpSpPr>
        <xdr:sp macro="" textlink="$D$35">
          <xdr:nvSpPr>
            <xdr:cNvPr id="37" name="Rectangle 36">
              <a:extLst>
                <a:ext uri="{FF2B5EF4-FFF2-40B4-BE49-F238E27FC236}">
                  <a16:creationId xmlns:a16="http://schemas.microsoft.com/office/drawing/2014/main" id="{E195805A-4E8B-EE5A-7F7E-FEDB2FA23B6E}"/>
                </a:ext>
              </a:extLst>
            </xdr:cNvPr>
            <xdr:cNvSpPr/>
          </xdr:nvSpPr>
          <xdr:spPr>
            <a:xfrm>
              <a:off x="1417320" y="7162800"/>
              <a:ext cx="678180" cy="2819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065368-6714-41D5-B00B-7157262A530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1.71M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8" name="TextBox 37">
              <a:extLst>
                <a:ext uri="{FF2B5EF4-FFF2-40B4-BE49-F238E27FC236}">
                  <a16:creationId xmlns:a16="http://schemas.microsoft.com/office/drawing/2014/main" id="{CC086445-8032-E895-3F09-C6C33A1C3388}"/>
                </a:ext>
              </a:extLst>
            </xdr:cNvPr>
            <xdr:cNvSpPr txBox="1"/>
          </xdr:nvSpPr>
          <xdr:spPr>
            <a:xfrm>
              <a:off x="1463040" y="6941820"/>
              <a:ext cx="61722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35" name="TextBox 34">
            <a:extLst>
              <a:ext uri="{FF2B5EF4-FFF2-40B4-BE49-F238E27FC236}">
                <a16:creationId xmlns:a16="http://schemas.microsoft.com/office/drawing/2014/main" id="{5B0E8C21-0264-D794-0573-69C040FD0189}"/>
              </a:ext>
            </a:extLst>
          </xdr:cNvPr>
          <xdr:cNvSpPr txBox="1"/>
        </xdr:nvSpPr>
        <xdr:spPr>
          <a:xfrm>
            <a:off x="2224370" y="6759861"/>
            <a:ext cx="943457" cy="5678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6" name="Rectangle 35">
            <a:extLst>
              <a:ext uri="{FF2B5EF4-FFF2-40B4-BE49-F238E27FC236}">
                <a16:creationId xmlns:a16="http://schemas.microsoft.com/office/drawing/2014/main" id="{9DD09D88-A1EF-DBB1-A0FA-CFC5CEE0C52F}"/>
              </a:ext>
            </a:extLst>
          </xdr:cNvPr>
          <xdr:cNvSpPr/>
        </xdr:nvSpPr>
        <xdr:spPr>
          <a:xfrm>
            <a:off x="1841695" y="7297280"/>
            <a:ext cx="1670706" cy="5145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497129-18D5-4601-9A48-7A708584D032}"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1.43M</a:t>
            </a:fld>
            <a:endParaRPr lang="en-US" sz="3600" b="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39" name="Rectangle 38">
          <a:extLst>
            <a:ext uri="{FF2B5EF4-FFF2-40B4-BE49-F238E27FC236}">
              <a16:creationId xmlns:a16="http://schemas.microsoft.com/office/drawing/2014/main" id="{EEE71D2B-CF63-46E6-9688-11F1BB3DA3AB}"/>
            </a:ext>
          </a:extLst>
        </xdr:cNvPr>
        <xdr:cNvSpPr/>
      </xdr:nvSpPr>
      <xdr:spPr>
        <a:xfrm>
          <a:off x="5539740" y="730758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0.76</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0" name="TextBox 39">
          <a:extLst>
            <a:ext uri="{FF2B5EF4-FFF2-40B4-BE49-F238E27FC236}">
              <a16:creationId xmlns:a16="http://schemas.microsoft.com/office/drawing/2014/main" id="{BB6A269D-0656-431B-9DB3-AC31A130B0D3}"/>
            </a:ext>
          </a:extLst>
        </xdr:cNvPr>
        <xdr:cNvSpPr txBox="1"/>
      </xdr:nvSpPr>
      <xdr:spPr>
        <a:xfrm>
          <a:off x="5684520" y="686562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1" name="Group 40">
          <a:extLst>
            <a:ext uri="{FF2B5EF4-FFF2-40B4-BE49-F238E27FC236}">
              <a16:creationId xmlns:a16="http://schemas.microsoft.com/office/drawing/2014/main" id="{4308712A-7794-4A78-B6C9-CB1B41E59A48}"/>
            </a:ext>
          </a:extLst>
        </xdr:cNvPr>
        <xdr:cNvGrpSpPr/>
      </xdr:nvGrpSpPr>
      <xdr:grpSpPr>
        <a:xfrm>
          <a:off x="6738090" y="7981741"/>
          <a:ext cx="708074" cy="519499"/>
          <a:chOff x="9646920" y="10965180"/>
          <a:chExt cx="731520" cy="502920"/>
        </a:xfrm>
      </xdr:grpSpPr>
      <xdr:sp macro="" textlink="$K$35">
        <xdr:nvSpPr>
          <xdr:cNvPr id="42" name="Rectangle 41">
            <a:extLst>
              <a:ext uri="{FF2B5EF4-FFF2-40B4-BE49-F238E27FC236}">
                <a16:creationId xmlns:a16="http://schemas.microsoft.com/office/drawing/2014/main" id="{AA4CB978-E2AC-894D-BFD8-FBDA71BE15B3}"/>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0.77</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3" name="TextBox 42">
            <a:extLst>
              <a:ext uri="{FF2B5EF4-FFF2-40B4-BE49-F238E27FC236}">
                <a16:creationId xmlns:a16="http://schemas.microsoft.com/office/drawing/2014/main" id="{F6B42727-EB87-3404-ADC5-C43DA7ECDB98}"/>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44" name="Rectangle 43">
          <a:extLst>
            <a:ext uri="{FF2B5EF4-FFF2-40B4-BE49-F238E27FC236}">
              <a16:creationId xmlns:a16="http://schemas.microsoft.com/office/drawing/2014/main" id="{4EA0B456-1546-4303-AB0F-DA5A40E2129A}"/>
            </a:ext>
          </a:extLst>
        </xdr:cNvPr>
        <xdr:cNvSpPr/>
      </xdr:nvSpPr>
      <xdr:spPr>
        <a:xfrm>
          <a:off x="9037320" y="728472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1,146</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45" name="Group 44">
          <a:extLst>
            <a:ext uri="{FF2B5EF4-FFF2-40B4-BE49-F238E27FC236}">
              <a16:creationId xmlns:a16="http://schemas.microsoft.com/office/drawing/2014/main" id="{92DE1A6C-D3FC-4D82-ABE2-86F69079FECC}"/>
            </a:ext>
          </a:extLst>
        </xdr:cNvPr>
        <xdr:cNvGrpSpPr/>
      </xdr:nvGrpSpPr>
      <xdr:grpSpPr>
        <a:xfrm>
          <a:off x="10163573" y="8063467"/>
          <a:ext cx="735707" cy="506353"/>
          <a:chOff x="13479780" y="10279380"/>
          <a:chExt cx="746760" cy="495300"/>
        </a:xfrm>
      </xdr:grpSpPr>
      <xdr:sp macro="" textlink="$Q$35">
        <xdr:nvSpPr>
          <xdr:cNvPr id="46" name="Rectangle 45">
            <a:extLst>
              <a:ext uri="{FF2B5EF4-FFF2-40B4-BE49-F238E27FC236}">
                <a16:creationId xmlns:a16="http://schemas.microsoft.com/office/drawing/2014/main" id="{E99FC60E-4AD7-C486-89E6-C58ADF10F2E4}"/>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0D98C9-0A68-42CD-9E69-E560721B6BB8}" type="TxLink">
              <a:rPr lang="en-US" sz="1100" b="1" i="0" u="none" strike="noStrike">
                <a:solidFill>
                  <a:srgbClr val="000000"/>
                </a:solidFill>
                <a:latin typeface="Calibri"/>
                <a:ea typeface="Calibri"/>
                <a:cs typeface="Calibri"/>
              </a:rPr>
              <a:pPr algn="ctr"/>
              <a:t>906</a:t>
            </a:fld>
            <a:endParaRPr lang="en-US" sz="1200" b="1"/>
          </a:p>
        </xdr:txBody>
      </xdr:sp>
      <xdr:sp macro="" textlink="">
        <xdr:nvSpPr>
          <xdr:cNvPr id="47" name="TextBox 46">
            <a:extLst>
              <a:ext uri="{FF2B5EF4-FFF2-40B4-BE49-F238E27FC236}">
                <a16:creationId xmlns:a16="http://schemas.microsoft.com/office/drawing/2014/main" id="{8DEB2A34-974D-5F30-043A-049B51D6996D}"/>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48" name="TextBox 47">
          <a:extLst>
            <a:ext uri="{FF2B5EF4-FFF2-40B4-BE49-F238E27FC236}">
              <a16:creationId xmlns:a16="http://schemas.microsoft.com/office/drawing/2014/main" id="{9338A1F6-4D8E-4DBB-A0FA-C175AECB6C86}"/>
            </a:ext>
          </a:extLst>
        </xdr:cNvPr>
        <xdr:cNvSpPr txBox="1"/>
      </xdr:nvSpPr>
      <xdr:spPr>
        <a:xfrm>
          <a:off x="9212580" y="698754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49" name="Picture 48">
          <a:extLst>
            <a:ext uri="{FF2B5EF4-FFF2-40B4-BE49-F238E27FC236}">
              <a16:creationId xmlns:a16="http://schemas.microsoft.com/office/drawing/2014/main" id="{BB70EE95-3CF8-47B4-B60D-1C97DD655D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16953" y="184612"/>
          <a:ext cx="957860" cy="639132"/>
        </a:xfrm>
        <a:prstGeom prst="rect">
          <a:avLst/>
        </a:prstGeom>
      </xdr:spPr>
    </xdr:pic>
    <xdr:clientData/>
  </xdr:twoCellAnchor>
  <xdr:twoCellAnchor editAs="oneCell">
    <xdr:from>
      <xdr:col>20</xdr:col>
      <xdr:colOff>462409</xdr:colOff>
      <xdr:row>2</xdr:row>
      <xdr:rowOff>58616</xdr:rowOff>
    </xdr:from>
    <xdr:to>
      <xdr:col>22</xdr:col>
      <xdr:colOff>666806</xdr:colOff>
      <xdr:row>2</xdr:row>
      <xdr:rowOff>454347</xdr:rowOff>
    </xdr:to>
    <xdr:pic>
      <xdr:nvPicPr>
        <xdr:cNvPr id="50" name="Picture 49">
          <a:extLst>
            <a:ext uri="{FF2B5EF4-FFF2-40B4-BE49-F238E27FC236}">
              <a16:creationId xmlns:a16="http://schemas.microsoft.com/office/drawing/2014/main" id="{BE9C972A-DB54-441E-8600-29C98D77A6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35309" y="332936"/>
          <a:ext cx="1644576" cy="395731"/>
        </a:xfrm>
        <a:prstGeom prst="rect">
          <a:avLst/>
        </a:prstGeom>
      </xdr:spPr>
    </xdr:pic>
    <xdr:clientData/>
  </xdr:twoCellAnchor>
  <xdr:twoCellAnchor>
    <xdr:from>
      <xdr:col>19</xdr:col>
      <xdr:colOff>92101</xdr:colOff>
      <xdr:row>32</xdr:row>
      <xdr:rowOff>35168</xdr:rowOff>
    </xdr:from>
    <xdr:to>
      <xdr:col>25</xdr:col>
      <xdr:colOff>133969</xdr:colOff>
      <xdr:row>47</xdr:row>
      <xdr:rowOff>15071</xdr:rowOff>
    </xdr:to>
    <xdr:graphicFrame macro="">
      <xdr:nvGraphicFramePr>
        <xdr:cNvPr id="52" name="Chart 51">
          <a:extLst>
            <a:ext uri="{FF2B5EF4-FFF2-40B4-BE49-F238E27FC236}">
              <a16:creationId xmlns:a16="http://schemas.microsoft.com/office/drawing/2014/main" id="{73BBCD62-5341-4273-B76B-A48790A5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53" name="Rectangle 52">
          <a:extLst>
            <a:ext uri="{FF2B5EF4-FFF2-40B4-BE49-F238E27FC236}">
              <a16:creationId xmlns:a16="http://schemas.microsoft.com/office/drawing/2014/main" id="{9D765214-2A47-47DE-8DED-06A84B6A3C53}"/>
            </a:ext>
          </a:extLst>
        </xdr:cNvPr>
        <xdr:cNvSpPr/>
      </xdr:nvSpPr>
      <xdr:spPr>
        <a:xfrm>
          <a:off x="12616962" y="7364692"/>
          <a:ext cx="1871337" cy="6896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91.5%</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54" name="TextBox 53">
          <a:extLst>
            <a:ext uri="{FF2B5EF4-FFF2-40B4-BE49-F238E27FC236}">
              <a16:creationId xmlns:a16="http://schemas.microsoft.com/office/drawing/2014/main" id="{05F2840B-970E-4D98-BD50-7F62DD8D4C2C}"/>
            </a:ext>
          </a:extLst>
        </xdr:cNvPr>
        <xdr:cNvSpPr txBox="1"/>
      </xdr:nvSpPr>
      <xdr:spPr>
        <a:xfrm>
          <a:off x="12851423" y="6807673"/>
          <a:ext cx="1385667" cy="64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552659</xdr:colOff>
      <xdr:row>14</xdr:row>
      <xdr:rowOff>125604</xdr:rowOff>
    </xdr:from>
    <xdr:to>
      <xdr:col>24</xdr:col>
      <xdr:colOff>58615</xdr:colOff>
      <xdr:row>17</xdr:row>
      <xdr:rowOff>117231</xdr:rowOff>
    </xdr:to>
    <xdr:sp macro="" textlink="">
      <xdr:nvSpPr>
        <xdr:cNvPr id="56" name="Rectangle 55">
          <a:extLst>
            <a:ext uri="{FF2B5EF4-FFF2-40B4-BE49-F238E27FC236}">
              <a16:creationId xmlns:a16="http://schemas.microsoft.com/office/drawing/2014/main" id="{369BD460-32A2-2082-C775-5336F07FB0BA}"/>
            </a:ext>
          </a:extLst>
        </xdr:cNvPr>
        <xdr:cNvSpPr/>
      </xdr:nvSpPr>
      <xdr:spPr>
        <a:xfrm>
          <a:off x="12351099" y="2955890"/>
          <a:ext cx="2813538" cy="5610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505209</xdr:colOff>
      <xdr:row>59</xdr:row>
      <xdr:rowOff>174031</xdr:rowOff>
    </xdr:from>
    <xdr:to>
      <xdr:col>8</xdr:col>
      <xdr:colOff>576385</xdr:colOff>
      <xdr:row>75</xdr:row>
      <xdr:rowOff>14374</xdr:rowOff>
    </xdr:to>
    <xdr:graphicFrame macro="">
      <xdr:nvGraphicFramePr>
        <xdr:cNvPr id="51" name="Chart 50">
          <a:extLst>
            <a:ext uri="{FF2B5EF4-FFF2-40B4-BE49-F238E27FC236}">
              <a16:creationId xmlns:a16="http://schemas.microsoft.com/office/drawing/2014/main" id="{6244D808-6F18-342F-B394-820CC16E1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439615</xdr:colOff>
      <xdr:row>65</xdr:row>
      <xdr:rowOff>125604</xdr:rowOff>
    </xdr:from>
    <xdr:to>
      <xdr:col>7</xdr:col>
      <xdr:colOff>209340</xdr:colOff>
      <xdr:row>70</xdr:row>
      <xdr:rowOff>174451</xdr:rowOff>
    </xdr:to>
    <xdr:sp macro="" textlink="">
      <xdr:nvSpPr>
        <xdr:cNvPr id="55" name="TextBox 54">
          <a:extLst>
            <a:ext uri="{FF2B5EF4-FFF2-40B4-BE49-F238E27FC236}">
              <a16:creationId xmlns:a16="http://schemas.microsoft.com/office/drawing/2014/main" id="{96D9E791-5BC2-4A99-5FDB-B449DD88ED5A}"/>
            </a:ext>
          </a:extLst>
        </xdr:cNvPr>
        <xdr:cNvSpPr txBox="1"/>
      </xdr:nvSpPr>
      <xdr:spPr>
        <a:xfrm>
          <a:off x="3314560" y="12281318"/>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30%</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53%</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295869</xdr:colOff>
      <xdr:row>59</xdr:row>
      <xdr:rowOff>174031</xdr:rowOff>
    </xdr:from>
    <xdr:to>
      <xdr:col>15</xdr:col>
      <xdr:colOff>471715</xdr:colOff>
      <xdr:row>75</xdr:row>
      <xdr:rowOff>14374</xdr:rowOff>
    </xdr:to>
    <xdr:graphicFrame macro="">
      <xdr:nvGraphicFramePr>
        <xdr:cNvPr id="57" name="Chart 56">
          <a:extLst>
            <a:ext uri="{FF2B5EF4-FFF2-40B4-BE49-F238E27FC236}">
              <a16:creationId xmlns:a16="http://schemas.microsoft.com/office/drawing/2014/main" id="{8BBFDED9-AAE1-C71E-9E5B-E8322C1CB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173335</xdr:colOff>
      <xdr:row>65</xdr:row>
      <xdr:rowOff>152400</xdr:rowOff>
    </xdr:from>
    <xdr:to>
      <xdr:col>12</xdr:col>
      <xdr:colOff>550148</xdr:colOff>
      <xdr:row>71</xdr:row>
      <xdr:rowOff>19818</xdr:rowOff>
    </xdr:to>
    <xdr:sp macro="" textlink="">
      <xdr:nvSpPr>
        <xdr:cNvPr id="58" name="TextBox 57">
          <a:extLst>
            <a:ext uri="{FF2B5EF4-FFF2-40B4-BE49-F238E27FC236}">
              <a16:creationId xmlns:a16="http://schemas.microsoft.com/office/drawing/2014/main" id="{34D2A6F2-1C40-4B7F-8E01-0B9B9EC05922}"/>
            </a:ext>
          </a:extLst>
        </xdr:cNvPr>
        <xdr:cNvSpPr txBox="1"/>
      </xdr:nvSpPr>
      <xdr:spPr>
        <a:xfrm>
          <a:off x="7632840" y="12308114"/>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1%</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59%</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160021</xdr:rowOff>
    </xdr:from>
    <xdr:to>
      <xdr:col>3</xdr:col>
      <xdr:colOff>137160</xdr:colOff>
      <xdr:row>6</xdr:row>
      <xdr:rowOff>342901</xdr:rowOff>
    </xdr:to>
    <mc:AlternateContent xmlns:mc="http://schemas.openxmlformats.org/markup-compatibility/2006" xmlns:sle15="http://schemas.microsoft.com/office/drawing/2012/slicer">
      <mc:Choice Requires="sle15">
        <xdr:graphicFrame macro="">
          <xdr:nvGraphicFramePr>
            <xdr:cNvPr id="2" name="Priority">
              <a:extLst>
                <a:ext uri="{FF2B5EF4-FFF2-40B4-BE49-F238E27FC236}">
                  <a16:creationId xmlns:a16="http://schemas.microsoft.com/office/drawing/2014/main" id="{96A734C1-2891-3811-CD5D-724C2358DC2E}"/>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228600" y="160021"/>
              <a:ext cx="1722120"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396240</xdr:colOff>
      <xdr:row>0</xdr:row>
      <xdr:rowOff>160021</xdr:rowOff>
    </xdr:from>
    <xdr:to>
      <xdr:col>7</xdr:col>
      <xdr:colOff>624840</xdr:colOff>
      <xdr:row>6</xdr:row>
      <xdr:rowOff>68581</xdr:rowOff>
    </xdr:to>
    <mc:AlternateContent xmlns:mc="http://schemas.openxmlformats.org/markup-compatibility/2006" xmlns:sle15="http://schemas.microsoft.com/office/drawing/2012/slicer">
      <mc:Choice Requires="sle15">
        <xdr:graphicFrame macro="">
          <xdr:nvGraphicFramePr>
            <xdr:cNvPr id="3" name="BDM">
              <a:extLst>
                <a:ext uri="{FF2B5EF4-FFF2-40B4-BE49-F238E27FC236}">
                  <a16:creationId xmlns:a16="http://schemas.microsoft.com/office/drawing/2014/main" id="{B259C27B-85B7-73A1-96AE-75313F8BFEA6}"/>
                </a:ext>
              </a:extLst>
            </xdr:cNvPr>
            <xdr:cNvGraphicFramePr/>
          </xdr:nvGraphicFramePr>
          <xdr:xfrm>
            <a:off x="0" y="0"/>
            <a:ext cx="0" cy="0"/>
          </xdr:xfrm>
          <a:graphic>
            <a:graphicData uri="http://schemas.microsoft.com/office/drawing/2010/slicer">
              <sle:slicer xmlns:sle="http://schemas.microsoft.com/office/drawing/2010/slicer" name="BDM"/>
            </a:graphicData>
          </a:graphic>
        </xdr:graphicFrame>
      </mc:Choice>
      <mc:Fallback xmlns="">
        <xdr:sp macro="" textlink="">
          <xdr:nvSpPr>
            <xdr:cNvPr id="0" name=""/>
            <xdr:cNvSpPr>
              <a:spLocks noTextEdit="1"/>
            </xdr:cNvSpPr>
          </xdr:nvSpPr>
          <xdr:spPr>
            <a:xfrm>
              <a:off x="220980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106680</xdr:colOff>
      <xdr:row>0</xdr:row>
      <xdr:rowOff>160021</xdr:rowOff>
    </xdr:from>
    <xdr:to>
      <xdr:col>13</xdr:col>
      <xdr:colOff>68580</xdr:colOff>
      <xdr:row>6</xdr:row>
      <xdr:rowOff>68581</xdr:rowOff>
    </xdr:to>
    <mc:AlternateContent xmlns:mc="http://schemas.openxmlformats.org/markup-compatibility/2006" xmlns:sle15="http://schemas.microsoft.com/office/drawing/2012/slicer">
      <mc:Choice Requires="sle15">
        <xdr:graphicFrame macro="">
          <xdr:nvGraphicFramePr>
            <xdr:cNvPr id="4" name="RAM">
              <a:extLst>
                <a:ext uri="{FF2B5EF4-FFF2-40B4-BE49-F238E27FC236}">
                  <a16:creationId xmlns:a16="http://schemas.microsoft.com/office/drawing/2014/main" id="{6A6D813A-5DE0-E510-0616-C211EFD84DA8}"/>
                </a:ext>
              </a:extLst>
            </xdr:cNvPr>
            <xdr:cNvGraphicFramePr/>
          </xdr:nvGraphicFramePr>
          <xdr:xfrm>
            <a:off x="0" y="0"/>
            <a:ext cx="0" cy="0"/>
          </xdr:xfrm>
          <a:graphic>
            <a:graphicData uri="http://schemas.microsoft.com/office/drawing/2010/slicer">
              <sle:slicer xmlns:sle="http://schemas.microsoft.com/office/drawing/2010/slicer" name="RAM"/>
            </a:graphicData>
          </a:graphic>
        </xdr:graphicFrame>
      </mc:Choice>
      <mc:Fallback xmlns="">
        <xdr:sp macro="" textlink="">
          <xdr:nvSpPr>
            <xdr:cNvPr id="0" name=""/>
            <xdr:cNvSpPr>
              <a:spLocks noTextEdit="1"/>
            </xdr:cNvSpPr>
          </xdr:nvSpPr>
          <xdr:spPr>
            <a:xfrm>
              <a:off x="566166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373380</xdr:colOff>
      <xdr:row>1</xdr:row>
      <xdr:rowOff>53340</xdr:rowOff>
    </xdr:from>
    <xdr:to>
      <xdr:col>24</xdr:col>
      <xdr:colOff>594360</xdr:colOff>
      <xdr:row>5</xdr:row>
      <xdr:rowOff>129540</xdr:rowOff>
    </xdr:to>
    <xdr:sp macro="" textlink="">
      <xdr:nvSpPr>
        <xdr:cNvPr id="5" name="TextBox 4">
          <a:extLst>
            <a:ext uri="{FF2B5EF4-FFF2-40B4-BE49-F238E27FC236}">
              <a16:creationId xmlns:a16="http://schemas.microsoft.com/office/drawing/2014/main" id="{27A50941-83DC-40A2-B5C8-2CBDFDC71B4D}"/>
            </a:ext>
          </a:extLst>
        </xdr:cNvPr>
        <xdr:cNvSpPr txBox="1"/>
      </xdr:nvSpPr>
      <xdr:spPr>
        <a:xfrm>
          <a:off x="9166860" y="236220"/>
          <a:ext cx="9342120" cy="80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kern="1200">
              <a:latin typeface="Calibri" panose="020F0502020204030204" pitchFamily="34" charset="0"/>
              <a:ea typeface="Calibri" panose="020F0502020204030204" pitchFamily="34" charset="0"/>
              <a:cs typeface="Calibri" panose="020F0502020204030204" pitchFamily="34" charset="0"/>
            </a:rPr>
            <a:t>NIBU ANNUAL PLAN - RESULTS FYTD25 AUG</a:t>
          </a:r>
        </a:p>
      </xdr:txBody>
    </xdr:sp>
    <xdr:clientData/>
  </xdr:twoCellAnchor>
  <xdr:twoCellAnchor editAs="oneCell">
    <xdr:from>
      <xdr:col>54</xdr:col>
      <xdr:colOff>184224</xdr:colOff>
      <xdr:row>0</xdr:row>
      <xdr:rowOff>129540</xdr:rowOff>
    </xdr:from>
    <xdr:to>
      <xdr:col>54</xdr:col>
      <xdr:colOff>1101312</xdr:colOff>
      <xdr:row>4</xdr:row>
      <xdr:rowOff>22860</xdr:rowOff>
    </xdr:to>
    <xdr:pic>
      <xdr:nvPicPr>
        <xdr:cNvPr id="6" name="Picture 5">
          <a:extLst>
            <a:ext uri="{FF2B5EF4-FFF2-40B4-BE49-F238E27FC236}">
              <a16:creationId xmlns:a16="http://schemas.microsoft.com/office/drawing/2014/main" id="{BFC269BF-C52B-4DAC-A27F-EA67D534A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54684" y="129540"/>
          <a:ext cx="945663" cy="624840"/>
        </a:xfrm>
        <a:prstGeom prst="rect">
          <a:avLst/>
        </a:prstGeom>
      </xdr:spPr>
    </xdr:pic>
    <xdr:clientData/>
  </xdr:twoCellAnchor>
  <xdr:twoCellAnchor editAs="oneCell">
    <xdr:from>
      <xdr:col>43</xdr:col>
      <xdr:colOff>457852</xdr:colOff>
      <xdr:row>1</xdr:row>
      <xdr:rowOff>52958</xdr:rowOff>
    </xdr:from>
    <xdr:to>
      <xdr:col>46</xdr:col>
      <xdr:colOff>0</xdr:colOff>
      <xdr:row>3</xdr:row>
      <xdr:rowOff>91439</xdr:rowOff>
    </xdr:to>
    <xdr:pic>
      <xdr:nvPicPr>
        <xdr:cNvPr id="7" name="Picture 6">
          <a:extLst>
            <a:ext uri="{FF2B5EF4-FFF2-40B4-BE49-F238E27FC236}">
              <a16:creationId xmlns:a16="http://schemas.microsoft.com/office/drawing/2014/main" id="{A4BC3C64-AC2F-4638-A11F-A09DF4B3FE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264232" y="235838"/>
          <a:ext cx="1707573" cy="4042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43" name="Chart 42">
          <a:extLst>
            <a:ext uri="{FF2B5EF4-FFF2-40B4-BE49-F238E27FC236}">
              <a16:creationId xmlns:a16="http://schemas.microsoft.com/office/drawing/2014/main" id="{18ED5491-CF09-4DB5-8C28-3AB91418D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49" name="Chart 48">
          <a:extLst>
            <a:ext uri="{FF2B5EF4-FFF2-40B4-BE49-F238E27FC236}">
              <a16:creationId xmlns:a16="http://schemas.microsoft.com/office/drawing/2014/main" id="{CBFC6197-F864-4AFB-B172-DF6227F72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170576</xdr:colOff>
      <xdr:row>1</xdr:row>
      <xdr:rowOff>99728</xdr:rowOff>
    </xdr:from>
    <xdr:to>
      <xdr:col>9</xdr:col>
      <xdr:colOff>110789</xdr:colOff>
      <xdr:row>2</xdr:row>
      <xdr:rowOff>477295</xdr:rowOff>
    </xdr:to>
    <xdr:sp macro="" textlink="">
      <xdr:nvSpPr>
        <xdr:cNvPr id="2" name="TextBox 1">
          <a:extLst>
            <a:ext uri="{FF2B5EF4-FFF2-40B4-BE49-F238E27FC236}">
              <a16:creationId xmlns:a16="http://schemas.microsoft.com/office/drawing/2014/main" id="{81907A73-5ECE-94BC-313F-5BA9B2CFBAAF}"/>
            </a:ext>
          </a:extLst>
        </xdr:cNvPr>
        <xdr:cNvSpPr txBox="1"/>
      </xdr:nvSpPr>
      <xdr:spPr>
        <a:xfrm>
          <a:off x="1141917" y="233706"/>
          <a:ext cx="4068410" cy="511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4" name="Rectangle: Rounded Corners 3">
          <a:extLst>
            <a:ext uri="{FF2B5EF4-FFF2-40B4-BE49-F238E27FC236}">
              <a16:creationId xmlns:a16="http://schemas.microsoft.com/office/drawing/2014/main" id="{FA7A22EB-3DD2-29F7-1D8B-70B75866C92F}"/>
            </a:ext>
          </a:extLst>
        </xdr:cNvPr>
        <xdr:cNvSpPr/>
      </xdr:nvSpPr>
      <xdr:spPr>
        <a:xfrm>
          <a:off x="224581" y="977453"/>
          <a:ext cx="14839573" cy="328999"/>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6E63C58-B399-159B-2BAD-B57349A3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9" name="Group 8">
          <a:extLst>
            <a:ext uri="{FF2B5EF4-FFF2-40B4-BE49-F238E27FC236}">
              <a16:creationId xmlns:a16="http://schemas.microsoft.com/office/drawing/2014/main" id="{0E33640E-2F3A-5431-1624-82EDDFDDDC46}"/>
            </a:ext>
          </a:extLst>
        </xdr:cNvPr>
        <xdr:cNvGrpSpPr/>
      </xdr:nvGrpSpPr>
      <xdr:grpSpPr>
        <a:xfrm>
          <a:off x="1091866" y="2583766"/>
          <a:ext cx="648502" cy="446965"/>
          <a:chOff x="3444240" y="3680460"/>
          <a:chExt cx="678180" cy="462880"/>
        </a:xfrm>
      </xdr:grpSpPr>
      <xdr:sp macro="" textlink="$C$9">
        <xdr:nvSpPr>
          <xdr:cNvPr id="7" name="Rectangle 6">
            <a:extLst>
              <a:ext uri="{FF2B5EF4-FFF2-40B4-BE49-F238E27FC236}">
                <a16:creationId xmlns:a16="http://schemas.microsoft.com/office/drawing/2014/main" id="{9A72C048-3967-975C-73D4-0663827C7C64}"/>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70.0%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 name="TextBox 7">
            <a:extLst>
              <a:ext uri="{FF2B5EF4-FFF2-40B4-BE49-F238E27FC236}">
                <a16:creationId xmlns:a16="http://schemas.microsoft.com/office/drawing/2014/main" id="{DA4D5781-8084-1386-0B37-E96A8622DBA4}"/>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5BB78DFC-0C67-6D0F-3DE8-7F504D28D6F2}"/>
            </a:ext>
          </a:extLst>
        </xdr:cNvPr>
        <xdr:cNvSpPr/>
      </xdr:nvSpPr>
      <xdr:spPr>
        <a:xfrm>
          <a:off x="556260" y="184404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76.3%</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04F740A1-EEC0-FB2C-ECFC-A0ACC788140D}"/>
            </a:ext>
          </a:extLst>
        </xdr:cNvPr>
        <xdr:cNvSpPr txBox="1"/>
      </xdr:nvSpPr>
      <xdr:spPr>
        <a:xfrm>
          <a:off x="1082040" y="178308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8" name="Chart 17">
          <a:extLst>
            <a:ext uri="{FF2B5EF4-FFF2-40B4-BE49-F238E27FC236}">
              <a16:creationId xmlns:a16="http://schemas.microsoft.com/office/drawing/2014/main" id="{20C66C12-2C50-48D8-9A18-B24D662F9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8B436E17-6E7A-41A9-9323-34F5D25E40CE}"/>
            </a:ext>
          </a:extLst>
        </xdr:cNvPr>
        <xdr:cNvSpPr/>
      </xdr:nvSpPr>
      <xdr:spPr>
        <a:xfrm>
          <a:off x="3002280" y="189738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95.6%</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9" name="TextBox 18">
          <a:extLst>
            <a:ext uri="{FF2B5EF4-FFF2-40B4-BE49-F238E27FC236}">
              <a16:creationId xmlns:a16="http://schemas.microsoft.com/office/drawing/2014/main" id="{B32E0FBC-10BE-4DD9-9744-8D76EDC5762C}"/>
            </a:ext>
          </a:extLst>
        </xdr:cNvPr>
        <xdr:cNvSpPr txBox="1"/>
      </xdr:nvSpPr>
      <xdr:spPr>
        <a:xfrm>
          <a:off x="3535680" y="17907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4" name="Group 13">
          <a:extLst>
            <a:ext uri="{FF2B5EF4-FFF2-40B4-BE49-F238E27FC236}">
              <a16:creationId xmlns:a16="http://schemas.microsoft.com/office/drawing/2014/main" id="{D5F4E2E5-9D99-4C20-B690-38F8F4C52B74}"/>
            </a:ext>
          </a:extLst>
        </xdr:cNvPr>
        <xdr:cNvGrpSpPr/>
      </xdr:nvGrpSpPr>
      <xdr:grpSpPr>
        <a:xfrm>
          <a:off x="3456272" y="2634599"/>
          <a:ext cx="637072" cy="441853"/>
          <a:chOff x="3444240" y="3680459"/>
          <a:chExt cx="678180" cy="462881"/>
        </a:xfrm>
      </xdr:grpSpPr>
      <xdr:sp macro="" textlink="$H$9">
        <xdr:nvSpPr>
          <xdr:cNvPr id="15" name="Rectangle 14">
            <a:extLst>
              <a:ext uri="{FF2B5EF4-FFF2-40B4-BE49-F238E27FC236}">
                <a16:creationId xmlns:a16="http://schemas.microsoft.com/office/drawing/2014/main" id="{9ACA9C03-093D-D512-98B4-CFB93DD6477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88.0%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6" name="TextBox 15">
            <a:extLst>
              <a:ext uri="{FF2B5EF4-FFF2-40B4-BE49-F238E27FC236}">
                <a16:creationId xmlns:a16="http://schemas.microsoft.com/office/drawing/2014/main" id="{A342F3D5-73B8-379B-B770-5A2C22D39FA0}"/>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28" name="Chart 27">
          <a:extLst>
            <a:ext uri="{FF2B5EF4-FFF2-40B4-BE49-F238E27FC236}">
              <a16:creationId xmlns:a16="http://schemas.microsoft.com/office/drawing/2014/main" id="{CEF6295D-8E97-459E-AD01-F71C95343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29" name="Group 28">
          <a:extLst>
            <a:ext uri="{FF2B5EF4-FFF2-40B4-BE49-F238E27FC236}">
              <a16:creationId xmlns:a16="http://schemas.microsoft.com/office/drawing/2014/main" id="{D7B5A591-63DA-44DA-A2F0-5FE50E42E27F}"/>
            </a:ext>
          </a:extLst>
        </xdr:cNvPr>
        <xdr:cNvGrpSpPr/>
      </xdr:nvGrpSpPr>
      <xdr:grpSpPr>
        <a:xfrm>
          <a:off x="5832508" y="2657459"/>
          <a:ext cx="657626" cy="441853"/>
          <a:chOff x="3444240" y="3680459"/>
          <a:chExt cx="678180" cy="462881"/>
        </a:xfrm>
      </xdr:grpSpPr>
      <xdr:sp macro="" textlink="$M$9">
        <xdr:nvSpPr>
          <xdr:cNvPr id="30" name="Rectangle 29">
            <a:extLst>
              <a:ext uri="{FF2B5EF4-FFF2-40B4-BE49-F238E27FC236}">
                <a16:creationId xmlns:a16="http://schemas.microsoft.com/office/drawing/2014/main" id="{456F0ED4-60C3-CD73-E93B-B50418E30C2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9C2256-C672-4407-A499-40B0461CD82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74.0%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1" name="TextBox 30">
            <a:extLst>
              <a:ext uri="{FF2B5EF4-FFF2-40B4-BE49-F238E27FC236}">
                <a16:creationId xmlns:a16="http://schemas.microsoft.com/office/drawing/2014/main" id="{4CFBE809-32A4-2BC8-B3CC-EF78EB144292}"/>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32" name="TextBox 31">
          <a:extLst>
            <a:ext uri="{FF2B5EF4-FFF2-40B4-BE49-F238E27FC236}">
              <a16:creationId xmlns:a16="http://schemas.microsoft.com/office/drawing/2014/main" id="{91AAAB00-0698-B3DA-159D-6F92058C9A49}"/>
            </a:ext>
          </a:extLst>
        </xdr:cNvPr>
        <xdr:cNvSpPr txBox="1"/>
      </xdr:nvSpPr>
      <xdr:spPr>
        <a:xfrm>
          <a:off x="5562600" y="163068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12" name="Rectangle 11">
          <a:extLst>
            <a:ext uri="{FF2B5EF4-FFF2-40B4-BE49-F238E27FC236}">
              <a16:creationId xmlns:a16="http://schemas.microsoft.com/office/drawing/2014/main" id="{14C68917-5BB1-4367-BBC8-90DCDAA21B66}"/>
            </a:ext>
          </a:extLst>
        </xdr:cNvPr>
        <xdr:cNvSpPr/>
      </xdr:nvSpPr>
      <xdr:spPr>
        <a:xfrm>
          <a:off x="5494020" y="194310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74.0%</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33" name="Rectangle 32">
          <a:extLst>
            <a:ext uri="{FF2B5EF4-FFF2-40B4-BE49-F238E27FC236}">
              <a16:creationId xmlns:a16="http://schemas.microsoft.com/office/drawing/2014/main" id="{41C8CC14-91F8-307A-0691-4CBCCACEEE1A}"/>
            </a:ext>
          </a:extLst>
        </xdr:cNvPr>
        <xdr:cNvSpPr/>
      </xdr:nvSpPr>
      <xdr:spPr>
        <a:xfrm>
          <a:off x="7619079" y="1356530"/>
          <a:ext cx="4285957" cy="2404001"/>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1" name="Chart 20">
          <a:extLst>
            <a:ext uri="{FF2B5EF4-FFF2-40B4-BE49-F238E27FC236}">
              <a16:creationId xmlns:a16="http://schemas.microsoft.com/office/drawing/2014/main" id="{D4E1F756-75D9-AC3F-1075-72E19F95E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2" name="Chart 21">
          <a:extLst>
            <a:ext uri="{FF2B5EF4-FFF2-40B4-BE49-F238E27FC236}">
              <a16:creationId xmlns:a16="http://schemas.microsoft.com/office/drawing/2014/main" id="{FAF4E466-D0B0-990F-B6D7-788D69551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3" name="Rectangle 22">
          <a:extLst>
            <a:ext uri="{FF2B5EF4-FFF2-40B4-BE49-F238E27FC236}">
              <a16:creationId xmlns:a16="http://schemas.microsoft.com/office/drawing/2014/main" id="{70F3F1FB-4CBC-867E-4CC5-1B993682377D}"/>
            </a:ext>
          </a:extLst>
        </xdr:cNvPr>
        <xdr:cNvSpPr/>
      </xdr:nvSpPr>
      <xdr:spPr>
        <a:xfrm>
          <a:off x="10325100" y="2247900"/>
          <a:ext cx="110490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100.0%</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7" name="TextBox 26">
          <a:extLst>
            <a:ext uri="{FF2B5EF4-FFF2-40B4-BE49-F238E27FC236}">
              <a16:creationId xmlns:a16="http://schemas.microsoft.com/office/drawing/2014/main" id="{78804F66-6E24-A640-5710-83CC3FE712C4}"/>
            </a:ext>
          </a:extLst>
        </xdr:cNvPr>
        <xdr:cNvSpPr txBox="1"/>
      </xdr:nvSpPr>
      <xdr:spPr>
        <a:xfrm>
          <a:off x="10416540" y="2567940"/>
          <a:ext cx="8686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34" name="TextBox 33">
          <a:extLst>
            <a:ext uri="{FF2B5EF4-FFF2-40B4-BE49-F238E27FC236}">
              <a16:creationId xmlns:a16="http://schemas.microsoft.com/office/drawing/2014/main" id="{380A3A60-A7AE-B3CD-2D14-2F2688EAE1D6}"/>
            </a:ext>
          </a:extLst>
        </xdr:cNvPr>
        <xdr:cNvSpPr txBox="1"/>
      </xdr:nvSpPr>
      <xdr:spPr>
        <a:xfrm>
          <a:off x="7772400" y="1470660"/>
          <a:ext cx="27432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5" name="Rectangle: Rounded Corners 34">
          <a:extLst>
            <a:ext uri="{FF2B5EF4-FFF2-40B4-BE49-F238E27FC236}">
              <a16:creationId xmlns:a16="http://schemas.microsoft.com/office/drawing/2014/main" id="{45AD3515-8704-4DAB-AA01-ADA099672168}"/>
            </a:ext>
          </a:extLst>
        </xdr:cNvPr>
        <xdr:cNvSpPr/>
      </xdr:nvSpPr>
      <xdr:spPr>
        <a:xfrm>
          <a:off x="224581" y="3915089"/>
          <a:ext cx="14437639" cy="33034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6" name="Rectangle: Rounded Corners 35">
          <a:extLst>
            <a:ext uri="{FF2B5EF4-FFF2-40B4-BE49-F238E27FC236}">
              <a16:creationId xmlns:a16="http://schemas.microsoft.com/office/drawing/2014/main" id="{5CC8614B-B9FC-4BBC-AE51-154FF0504F04}"/>
            </a:ext>
          </a:extLst>
        </xdr:cNvPr>
        <xdr:cNvSpPr/>
      </xdr:nvSpPr>
      <xdr:spPr>
        <a:xfrm>
          <a:off x="224581" y="5742047"/>
          <a:ext cx="14412518" cy="32900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17" name="Group 16">
          <a:extLst>
            <a:ext uri="{FF2B5EF4-FFF2-40B4-BE49-F238E27FC236}">
              <a16:creationId xmlns:a16="http://schemas.microsoft.com/office/drawing/2014/main" id="{A11DC9F9-0D4A-24C6-D1C9-28E7B27D7DAA}"/>
            </a:ext>
          </a:extLst>
        </xdr:cNvPr>
        <xdr:cNvGrpSpPr/>
      </xdr:nvGrpSpPr>
      <xdr:grpSpPr>
        <a:xfrm>
          <a:off x="514651" y="6359592"/>
          <a:ext cx="4426819" cy="2819901"/>
          <a:chOff x="377064" y="6176722"/>
          <a:chExt cx="4578867" cy="2763296"/>
        </a:xfrm>
      </xdr:grpSpPr>
      <xdr:graphicFrame macro="">
        <xdr:nvGraphicFramePr>
          <xdr:cNvPr id="39" name="Chart 38">
            <a:extLst>
              <a:ext uri="{FF2B5EF4-FFF2-40B4-BE49-F238E27FC236}">
                <a16:creationId xmlns:a16="http://schemas.microsoft.com/office/drawing/2014/main" id="{409D7D7B-FA90-1F0A-587A-B46BA1847B07}"/>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41" name="Group 40">
            <a:extLst>
              <a:ext uri="{FF2B5EF4-FFF2-40B4-BE49-F238E27FC236}">
                <a16:creationId xmlns:a16="http://schemas.microsoft.com/office/drawing/2014/main" id="{CA731F95-3884-1FA5-1633-DF987560B872}"/>
              </a:ext>
            </a:extLst>
          </xdr:cNvPr>
          <xdr:cNvGrpSpPr/>
        </xdr:nvGrpSpPr>
        <xdr:grpSpPr>
          <a:xfrm>
            <a:off x="2338670" y="7811840"/>
            <a:ext cx="676757" cy="505599"/>
            <a:chOff x="1417320" y="6941820"/>
            <a:chExt cx="678180" cy="502920"/>
          </a:xfrm>
        </xdr:grpSpPr>
        <xdr:sp macro="" textlink="$D$35">
          <xdr:nvSpPr>
            <xdr:cNvPr id="37" name="Rectangle 36">
              <a:extLst>
                <a:ext uri="{FF2B5EF4-FFF2-40B4-BE49-F238E27FC236}">
                  <a16:creationId xmlns:a16="http://schemas.microsoft.com/office/drawing/2014/main" id="{82EF505B-957F-0299-349E-727C2CC577D0}"/>
                </a:ext>
              </a:extLst>
            </xdr:cNvPr>
            <xdr:cNvSpPr/>
          </xdr:nvSpPr>
          <xdr:spPr>
            <a:xfrm>
              <a:off x="1417320" y="7162800"/>
              <a:ext cx="67818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42F869-2ADA-4E89-B7C6-5A5A1FB93CDB}"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3.40M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0" name="TextBox 39">
              <a:extLst>
                <a:ext uri="{FF2B5EF4-FFF2-40B4-BE49-F238E27FC236}">
                  <a16:creationId xmlns:a16="http://schemas.microsoft.com/office/drawing/2014/main" id="{F9B1FD8B-6FFE-6B3F-D027-59F6D7C278CF}"/>
                </a:ext>
              </a:extLst>
            </xdr:cNvPr>
            <xdr:cNvSpPr txBox="1"/>
          </xdr:nvSpPr>
          <xdr:spPr>
            <a:xfrm>
              <a:off x="1463040" y="6941820"/>
              <a:ext cx="617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42" name="TextBox 41">
            <a:extLst>
              <a:ext uri="{FF2B5EF4-FFF2-40B4-BE49-F238E27FC236}">
                <a16:creationId xmlns:a16="http://schemas.microsoft.com/office/drawing/2014/main" id="{05837E62-A8A5-C7EC-4E6D-9E0E61E55EF2}"/>
              </a:ext>
            </a:extLst>
          </xdr:cNvPr>
          <xdr:cNvSpPr txBox="1"/>
        </xdr:nvSpPr>
        <xdr:spPr>
          <a:xfrm>
            <a:off x="2224370" y="6759861"/>
            <a:ext cx="943457" cy="56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8" name="Rectangle 37">
            <a:extLst>
              <a:ext uri="{FF2B5EF4-FFF2-40B4-BE49-F238E27FC236}">
                <a16:creationId xmlns:a16="http://schemas.microsoft.com/office/drawing/2014/main" id="{6B7B7DEC-FF91-8B70-4FEE-66C44C09B4E2}"/>
              </a:ext>
            </a:extLst>
          </xdr:cNvPr>
          <xdr:cNvSpPr/>
        </xdr:nvSpPr>
        <xdr:spPr>
          <a:xfrm>
            <a:off x="1841695" y="7297280"/>
            <a:ext cx="1670706" cy="514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0E2D1-E79C-4B9C-9C6E-CAD652FAD525}"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1.76M</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45" name="Rectangle 44">
          <a:extLst>
            <a:ext uri="{FF2B5EF4-FFF2-40B4-BE49-F238E27FC236}">
              <a16:creationId xmlns:a16="http://schemas.microsoft.com/office/drawing/2014/main" id="{59261AA9-E6F1-1AF5-3C47-83D1E9B8B8CF}"/>
            </a:ext>
          </a:extLst>
        </xdr:cNvPr>
        <xdr:cNvSpPr/>
      </xdr:nvSpPr>
      <xdr:spPr>
        <a:xfrm>
          <a:off x="5623560" y="713994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1.44</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6" name="TextBox 45">
          <a:extLst>
            <a:ext uri="{FF2B5EF4-FFF2-40B4-BE49-F238E27FC236}">
              <a16:creationId xmlns:a16="http://schemas.microsoft.com/office/drawing/2014/main" id="{4689E726-A7D9-4E0D-96D0-B12B9AA4DBDB}"/>
            </a:ext>
          </a:extLst>
        </xdr:cNvPr>
        <xdr:cNvSpPr txBox="1"/>
      </xdr:nvSpPr>
      <xdr:spPr>
        <a:xfrm>
          <a:off x="5768340" y="669798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8" name="Group 47">
          <a:extLst>
            <a:ext uri="{FF2B5EF4-FFF2-40B4-BE49-F238E27FC236}">
              <a16:creationId xmlns:a16="http://schemas.microsoft.com/office/drawing/2014/main" id="{CCDA77E1-EDC7-4DBF-E1B1-651F3F722A5D}"/>
            </a:ext>
          </a:extLst>
        </xdr:cNvPr>
        <xdr:cNvGrpSpPr/>
      </xdr:nvGrpSpPr>
      <xdr:grpSpPr>
        <a:xfrm>
          <a:off x="5840128" y="7985459"/>
          <a:ext cx="710966" cy="518260"/>
          <a:chOff x="9646920" y="10965180"/>
          <a:chExt cx="731520" cy="502920"/>
        </a:xfrm>
      </xdr:grpSpPr>
      <xdr:sp macro="" textlink="$K$35">
        <xdr:nvSpPr>
          <xdr:cNvPr id="44" name="Rectangle 43">
            <a:extLst>
              <a:ext uri="{FF2B5EF4-FFF2-40B4-BE49-F238E27FC236}">
                <a16:creationId xmlns:a16="http://schemas.microsoft.com/office/drawing/2014/main" id="{3170BC28-A5E1-8378-EEDE-6A8C332C7B0F}"/>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1.48</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7" name="TextBox 46">
            <a:extLst>
              <a:ext uri="{FF2B5EF4-FFF2-40B4-BE49-F238E27FC236}">
                <a16:creationId xmlns:a16="http://schemas.microsoft.com/office/drawing/2014/main" id="{6EDF7E74-618E-B282-01D7-CCDDF72CD66F}"/>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51" name="Rectangle 50">
          <a:extLst>
            <a:ext uri="{FF2B5EF4-FFF2-40B4-BE49-F238E27FC236}">
              <a16:creationId xmlns:a16="http://schemas.microsoft.com/office/drawing/2014/main" id="{62C3DA85-9B96-5513-DC0A-AFC27DA89544}"/>
            </a:ext>
          </a:extLst>
        </xdr:cNvPr>
        <xdr:cNvSpPr/>
      </xdr:nvSpPr>
      <xdr:spPr>
        <a:xfrm>
          <a:off x="9121140" y="711708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990</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53" name="Group 52">
          <a:extLst>
            <a:ext uri="{FF2B5EF4-FFF2-40B4-BE49-F238E27FC236}">
              <a16:creationId xmlns:a16="http://schemas.microsoft.com/office/drawing/2014/main" id="{FD0D9BB1-32C5-A27F-F18E-7B69EEC7E7F9}"/>
            </a:ext>
          </a:extLst>
        </xdr:cNvPr>
        <xdr:cNvGrpSpPr/>
      </xdr:nvGrpSpPr>
      <xdr:grpSpPr>
        <a:xfrm>
          <a:off x="9282965" y="8066773"/>
          <a:ext cx="736533" cy="505526"/>
          <a:chOff x="13479780" y="10279380"/>
          <a:chExt cx="746760" cy="495300"/>
        </a:xfrm>
      </xdr:grpSpPr>
      <xdr:sp macro="" textlink="$Q$35">
        <xdr:nvSpPr>
          <xdr:cNvPr id="50" name="Rectangle 49">
            <a:extLst>
              <a:ext uri="{FF2B5EF4-FFF2-40B4-BE49-F238E27FC236}">
                <a16:creationId xmlns:a16="http://schemas.microsoft.com/office/drawing/2014/main" id="{ABF97EEC-09A9-8894-5827-F0B74BD7A883}"/>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220276-A0C7-4971-A4EA-2552435EF60D}" type="TxLink">
              <a:rPr lang="en-US" sz="1200" b="1" i="0" u="none" strike="noStrike">
                <a:solidFill>
                  <a:srgbClr val="000000"/>
                </a:solidFill>
                <a:latin typeface="Calibri"/>
                <a:ea typeface="Calibri"/>
                <a:cs typeface="Calibri"/>
              </a:rPr>
              <a:pPr algn="ctr"/>
              <a:t>2,390</a:t>
            </a:fld>
            <a:endParaRPr lang="en-US" sz="1200" b="1"/>
          </a:p>
        </xdr:txBody>
      </xdr:sp>
      <xdr:sp macro="" textlink="">
        <xdr:nvSpPr>
          <xdr:cNvPr id="52" name="TextBox 51">
            <a:extLst>
              <a:ext uri="{FF2B5EF4-FFF2-40B4-BE49-F238E27FC236}">
                <a16:creationId xmlns:a16="http://schemas.microsoft.com/office/drawing/2014/main" id="{A7274681-4653-7687-BE4D-14F49180EE31}"/>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54" name="TextBox 53">
          <a:extLst>
            <a:ext uri="{FF2B5EF4-FFF2-40B4-BE49-F238E27FC236}">
              <a16:creationId xmlns:a16="http://schemas.microsoft.com/office/drawing/2014/main" id="{0491CF42-6D05-4BD9-8762-1407BB6254E6}"/>
            </a:ext>
          </a:extLst>
        </xdr:cNvPr>
        <xdr:cNvSpPr txBox="1"/>
      </xdr:nvSpPr>
      <xdr:spPr>
        <a:xfrm>
          <a:off x="9296400" y="681990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3" name="Picture 2">
          <a:extLst>
            <a:ext uri="{FF2B5EF4-FFF2-40B4-BE49-F238E27FC236}">
              <a16:creationId xmlns:a16="http://schemas.microsoft.com/office/drawing/2014/main" id="{938324BA-5896-4C65-9F78-B13A12BE29D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42576" y="181430"/>
          <a:ext cx="955432" cy="636955"/>
        </a:xfrm>
        <a:prstGeom prst="rect">
          <a:avLst/>
        </a:prstGeom>
      </xdr:spPr>
    </xdr:pic>
    <xdr:clientData/>
  </xdr:twoCellAnchor>
  <xdr:twoCellAnchor editAs="oneCell">
    <xdr:from>
      <xdr:col>20</xdr:col>
      <xdr:colOff>462409</xdr:colOff>
      <xdr:row>2</xdr:row>
      <xdr:rowOff>58616</xdr:rowOff>
    </xdr:from>
    <xdr:to>
      <xdr:col>22</xdr:col>
      <xdr:colOff>666804</xdr:colOff>
      <xdr:row>2</xdr:row>
      <xdr:rowOff>454347</xdr:rowOff>
    </xdr:to>
    <xdr:pic>
      <xdr:nvPicPr>
        <xdr:cNvPr id="5" name="Picture 4">
          <a:extLst>
            <a:ext uri="{FF2B5EF4-FFF2-40B4-BE49-F238E27FC236}">
              <a16:creationId xmlns:a16="http://schemas.microsoft.com/office/drawing/2014/main" id="{5B259FA4-923E-45CA-B224-58B8330F110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60849" y="326572"/>
          <a:ext cx="1644659" cy="395731"/>
        </a:xfrm>
        <a:prstGeom prst="rect">
          <a:avLst/>
        </a:prstGeom>
      </xdr:spPr>
    </xdr:pic>
    <xdr:clientData/>
  </xdr:twoCellAnchor>
  <xdr:twoCellAnchor>
    <xdr:from>
      <xdr:col>19</xdr:col>
      <xdr:colOff>435427</xdr:colOff>
      <xdr:row>32</xdr:row>
      <xdr:rowOff>1674</xdr:rowOff>
    </xdr:from>
    <xdr:to>
      <xdr:col>25</xdr:col>
      <xdr:colOff>477295</xdr:colOff>
      <xdr:row>46</xdr:row>
      <xdr:rowOff>165797</xdr:rowOff>
    </xdr:to>
    <xdr:graphicFrame macro="">
      <xdr:nvGraphicFramePr>
        <xdr:cNvPr id="20" name="Chart 19">
          <a:extLst>
            <a:ext uri="{FF2B5EF4-FFF2-40B4-BE49-F238E27FC236}">
              <a16:creationId xmlns:a16="http://schemas.microsoft.com/office/drawing/2014/main" id="{201A6726-EF54-C2A5-46B2-01BD841EE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100476</xdr:colOff>
      <xdr:row>32</xdr:row>
      <xdr:rowOff>26795</xdr:rowOff>
    </xdr:from>
    <xdr:to>
      <xdr:col>25</xdr:col>
      <xdr:colOff>142344</xdr:colOff>
      <xdr:row>47</xdr:row>
      <xdr:rowOff>6698</xdr:rowOff>
    </xdr:to>
    <xdr:graphicFrame macro="">
      <xdr:nvGraphicFramePr>
        <xdr:cNvPr id="24" name="Chart 23">
          <a:extLst>
            <a:ext uri="{FF2B5EF4-FFF2-40B4-BE49-F238E27FC236}">
              <a16:creationId xmlns:a16="http://schemas.microsoft.com/office/drawing/2014/main" id="{8080941B-8467-03D6-17D1-5DBA907A8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25" name="Rectangle 24">
          <a:extLst>
            <a:ext uri="{FF2B5EF4-FFF2-40B4-BE49-F238E27FC236}">
              <a16:creationId xmlns:a16="http://schemas.microsoft.com/office/drawing/2014/main" id="{EDD0ADB6-6E92-52C6-0B3B-2B8EAF06C0FA}"/>
            </a:ext>
          </a:extLst>
        </xdr:cNvPr>
        <xdr:cNvSpPr/>
      </xdr:nvSpPr>
      <xdr:spPr>
        <a:xfrm>
          <a:off x="12644176" y="7402290"/>
          <a:ext cx="1867318" cy="6950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63.5%</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26" name="TextBox 25">
          <a:extLst>
            <a:ext uri="{FF2B5EF4-FFF2-40B4-BE49-F238E27FC236}">
              <a16:creationId xmlns:a16="http://schemas.microsoft.com/office/drawing/2014/main" id="{ABB29E74-6B61-00CA-4C7F-B8E6EE3C54B1}"/>
            </a:ext>
          </a:extLst>
        </xdr:cNvPr>
        <xdr:cNvSpPr txBox="1"/>
      </xdr:nvSpPr>
      <xdr:spPr>
        <a:xfrm>
          <a:off x="12878637" y="6841251"/>
          <a:ext cx="1381648" cy="64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66842</xdr:colOff>
      <xdr:row>12</xdr:row>
      <xdr:rowOff>142042</xdr:rowOff>
    </xdr:from>
    <xdr:to>
      <xdr:col>23</xdr:col>
      <xdr:colOff>827171</xdr:colOff>
      <xdr:row>14</xdr:row>
      <xdr:rowOff>150397</xdr:rowOff>
    </xdr:to>
    <xdr:sp macro="" textlink="">
      <xdr:nvSpPr>
        <xdr:cNvPr id="56" name="TextBox 55">
          <a:extLst>
            <a:ext uri="{FF2B5EF4-FFF2-40B4-BE49-F238E27FC236}">
              <a16:creationId xmlns:a16="http://schemas.microsoft.com/office/drawing/2014/main" id="{65D83AE1-AB9E-695A-B2D5-702359FCDC23}"/>
            </a:ext>
          </a:extLst>
        </xdr:cNvPr>
        <xdr:cNvSpPr txBox="1"/>
      </xdr:nvSpPr>
      <xdr:spPr>
        <a:xfrm>
          <a:off x="12658224" y="2590134"/>
          <a:ext cx="2523289" cy="37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 Projects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69</xdr:row>
      <xdr:rowOff>3810</xdr:rowOff>
    </xdr:from>
    <xdr:to>
      <xdr:col>13</xdr:col>
      <xdr:colOff>76200</xdr:colOff>
      <xdr:row>84</xdr:row>
      <xdr:rowOff>3810</xdr:rowOff>
    </xdr:to>
    <xdr:graphicFrame macro="">
      <xdr:nvGraphicFramePr>
        <xdr:cNvPr id="2" name="Chart 1">
          <a:extLst>
            <a:ext uri="{FF2B5EF4-FFF2-40B4-BE49-F238E27FC236}">
              <a16:creationId xmlns:a16="http://schemas.microsoft.com/office/drawing/2014/main" id="{7443F8CA-B577-F260-28A6-3FAA487FF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73</xdr:row>
      <xdr:rowOff>137160</xdr:rowOff>
    </xdr:from>
    <xdr:to>
      <xdr:col>10</xdr:col>
      <xdr:colOff>396240</xdr:colOff>
      <xdr:row>79</xdr:row>
      <xdr:rowOff>129540</xdr:rowOff>
    </xdr:to>
    <xdr:sp macro="" textlink="$D$76">
      <xdr:nvSpPr>
        <xdr:cNvPr id="3" name="Rectangle 2">
          <a:extLst>
            <a:ext uri="{FF2B5EF4-FFF2-40B4-BE49-F238E27FC236}">
              <a16:creationId xmlns:a16="http://schemas.microsoft.com/office/drawing/2014/main" id="{E9F42511-869E-6F15-50E4-772E5260B3CD}"/>
            </a:ext>
          </a:extLst>
        </xdr:cNvPr>
        <xdr:cNvSpPr/>
      </xdr:nvSpPr>
      <xdr:spPr>
        <a:xfrm>
          <a:off x="5943600" y="15415260"/>
          <a:ext cx="1470660" cy="1089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BCDD65-2B99-4BF4-9DAA-F8B643BB9410}" type="TxLink">
            <a:rPr lang="en-US" sz="4800" b="0" i="0" u="none" strike="noStrike" kern="1200">
              <a:solidFill>
                <a:srgbClr val="000000"/>
              </a:solidFill>
              <a:latin typeface="Calibri"/>
              <a:ea typeface="Calibri"/>
              <a:cs typeface="Calibri"/>
            </a:rPr>
            <a:pPr algn="ctr"/>
            <a:t>62%</a:t>
          </a:fld>
          <a:endParaRPr lang="en-US" sz="4800" kern="1200"/>
        </a:p>
      </xdr:txBody>
    </xdr:sp>
    <xdr:clientData/>
  </xdr:twoCellAnchor>
  <xdr:twoCellAnchor>
    <xdr:from>
      <xdr:col>8</xdr:col>
      <xdr:colOff>289560</xdr:colOff>
      <xdr:row>72</xdr:row>
      <xdr:rowOff>0</xdr:rowOff>
    </xdr:from>
    <xdr:to>
      <xdr:col>10</xdr:col>
      <xdr:colOff>190500</xdr:colOff>
      <xdr:row>75</xdr:row>
      <xdr:rowOff>175260</xdr:rowOff>
    </xdr:to>
    <xdr:sp macro="" textlink="">
      <xdr:nvSpPr>
        <xdr:cNvPr id="4" name="TextBox 3">
          <a:extLst>
            <a:ext uri="{FF2B5EF4-FFF2-40B4-BE49-F238E27FC236}">
              <a16:creationId xmlns:a16="http://schemas.microsoft.com/office/drawing/2014/main" id="{768FC7EC-C269-751A-E6C0-C75ACD58B851}"/>
            </a:ext>
          </a:extLst>
        </xdr:cNvPr>
        <xdr:cNvSpPr txBox="1"/>
      </xdr:nvSpPr>
      <xdr:spPr>
        <a:xfrm>
          <a:off x="6088380" y="15095220"/>
          <a:ext cx="112014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Total Progress</a:t>
          </a:r>
        </a:p>
      </xdr:txBody>
    </xdr:sp>
    <xdr:clientData/>
  </xdr:twoCellAnchor>
  <xdr:twoCellAnchor>
    <xdr:from>
      <xdr:col>16</xdr:col>
      <xdr:colOff>22860</xdr:colOff>
      <xdr:row>80</xdr:row>
      <xdr:rowOff>19050</xdr:rowOff>
    </xdr:from>
    <xdr:to>
      <xdr:col>19</xdr:col>
      <xdr:colOff>1744980</xdr:colOff>
      <xdr:row>95</xdr:row>
      <xdr:rowOff>19050</xdr:rowOff>
    </xdr:to>
    <xdr:graphicFrame macro="">
      <xdr:nvGraphicFramePr>
        <xdr:cNvPr id="5" name="Chart 4">
          <a:extLst>
            <a:ext uri="{FF2B5EF4-FFF2-40B4-BE49-F238E27FC236}">
              <a16:creationId xmlns:a16="http://schemas.microsoft.com/office/drawing/2014/main" id="{E8001618-CBB3-BD48-C569-7630F8DE9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922020</xdr:colOff>
      <xdr:row>88</xdr:row>
      <xdr:rowOff>53340</xdr:rowOff>
    </xdr:from>
    <xdr:to>
      <xdr:col>18</xdr:col>
      <xdr:colOff>937260</xdr:colOff>
      <xdr:row>90</xdr:row>
      <xdr:rowOff>175260</xdr:rowOff>
    </xdr:to>
    <xdr:sp macro="" textlink="">
      <xdr:nvSpPr>
        <xdr:cNvPr id="6" name="TextBox 5">
          <a:extLst>
            <a:ext uri="{FF2B5EF4-FFF2-40B4-BE49-F238E27FC236}">
              <a16:creationId xmlns:a16="http://schemas.microsoft.com/office/drawing/2014/main" id="{FD26DCDF-C303-4591-2AA3-815B17E62CC1}"/>
            </a:ext>
          </a:extLst>
        </xdr:cNvPr>
        <xdr:cNvSpPr txBox="1"/>
      </xdr:nvSpPr>
      <xdr:spPr>
        <a:xfrm>
          <a:off x="13929360" y="18074640"/>
          <a:ext cx="9525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050" kern="1200">
              <a:latin typeface="Calibri" panose="020F0502020204030204" pitchFamily="34" charset="0"/>
              <a:ea typeface="Calibri" panose="020F0502020204030204" pitchFamily="34" charset="0"/>
              <a:cs typeface="Calibri" panose="020F0502020204030204" pitchFamily="34" charset="0"/>
            </a:rPr>
            <a:t>59%</a:t>
          </a:r>
        </a:p>
      </xdr:txBody>
    </xdr:sp>
    <xdr:clientData/>
  </xdr:twoCellAnchor>
  <xdr:twoCellAnchor>
    <xdr:from>
      <xdr:col>17</xdr:col>
      <xdr:colOff>693420</xdr:colOff>
      <xdr:row>85</xdr:row>
      <xdr:rowOff>129540</xdr:rowOff>
    </xdr:from>
    <xdr:to>
      <xdr:col>19</xdr:col>
      <xdr:colOff>152400</xdr:colOff>
      <xdr:row>89</xdr:row>
      <xdr:rowOff>7620</xdr:rowOff>
    </xdr:to>
    <xdr:sp macro="" textlink="">
      <xdr:nvSpPr>
        <xdr:cNvPr id="7" name="TextBox 6">
          <a:extLst>
            <a:ext uri="{FF2B5EF4-FFF2-40B4-BE49-F238E27FC236}">
              <a16:creationId xmlns:a16="http://schemas.microsoft.com/office/drawing/2014/main" id="{047F11AE-0888-EE78-0237-77D71C5244C6}"/>
            </a:ext>
          </a:extLst>
        </xdr:cNvPr>
        <xdr:cNvSpPr txBox="1"/>
      </xdr:nvSpPr>
      <xdr:spPr>
        <a:xfrm>
          <a:off x="13700760" y="17602200"/>
          <a:ext cx="13716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kern="1200">
              <a:latin typeface="Calibri" panose="020F0502020204030204" pitchFamily="34" charset="0"/>
              <a:ea typeface="Calibri" panose="020F0502020204030204" pitchFamily="34" charset="0"/>
              <a:cs typeface="Calibri" panose="020F0502020204030204" pitchFamily="34" charset="0"/>
            </a:rPr>
            <a:t>1%</a:t>
          </a:r>
        </a:p>
      </xdr:txBody>
    </xdr:sp>
    <xdr:clientData/>
  </xdr:twoCellAnchor>
  <xdr:twoCellAnchor>
    <xdr:from>
      <xdr:col>18</xdr:col>
      <xdr:colOff>60960</xdr:colOff>
      <xdr:row>84</xdr:row>
      <xdr:rowOff>53340</xdr:rowOff>
    </xdr:from>
    <xdr:to>
      <xdr:col>18</xdr:col>
      <xdr:colOff>800100</xdr:colOff>
      <xdr:row>86</xdr:row>
      <xdr:rowOff>30480</xdr:rowOff>
    </xdr:to>
    <xdr:sp macro="" textlink="">
      <xdr:nvSpPr>
        <xdr:cNvPr id="8" name="TextBox 7">
          <a:extLst>
            <a:ext uri="{FF2B5EF4-FFF2-40B4-BE49-F238E27FC236}">
              <a16:creationId xmlns:a16="http://schemas.microsoft.com/office/drawing/2014/main" id="{EE2535F2-7F5B-3E2D-9228-BB42E906C85A}"/>
            </a:ext>
          </a:extLst>
        </xdr:cNvPr>
        <xdr:cNvSpPr txBox="1"/>
      </xdr:nvSpPr>
      <xdr:spPr>
        <a:xfrm>
          <a:off x="14005560" y="17343120"/>
          <a:ext cx="739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R9</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4</xdr:row>
      <xdr:rowOff>7620</xdr:rowOff>
    </xdr:from>
    <xdr:to>
      <xdr:col>16</xdr:col>
      <xdr:colOff>15240</xdr:colOff>
      <xdr:row>17</xdr:row>
      <xdr:rowOff>7620</xdr:rowOff>
    </xdr:to>
    <xdr:graphicFrame macro="">
      <xdr:nvGraphicFramePr>
        <xdr:cNvPr id="2" name="Chart 1">
          <a:extLst>
            <a:ext uri="{FF2B5EF4-FFF2-40B4-BE49-F238E27FC236}">
              <a16:creationId xmlns:a16="http://schemas.microsoft.com/office/drawing/2014/main" id="{24971B9E-7CDC-FC84-F44A-54D990411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0</xdr:row>
      <xdr:rowOff>60960</xdr:rowOff>
    </xdr:from>
    <xdr:to>
      <xdr:col>9</xdr:col>
      <xdr:colOff>212690</xdr:colOff>
      <xdr:row>2</xdr:row>
      <xdr:rowOff>65817</xdr:rowOff>
    </xdr:to>
    <xdr:sp macro="" textlink="">
      <xdr:nvSpPr>
        <xdr:cNvPr id="3" name="TextBox 2">
          <a:extLst>
            <a:ext uri="{FF2B5EF4-FFF2-40B4-BE49-F238E27FC236}">
              <a16:creationId xmlns:a16="http://schemas.microsoft.com/office/drawing/2014/main" id="{56A46BAA-0C35-4960-AB12-678F404CDCFC}"/>
            </a:ext>
          </a:extLst>
        </xdr:cNvPr>
        <xdr:cNvSpPr txBox="1"/>
      </xdr:nvSpPr>
      <xdr:spPr>
        <a:xfrm>
          <a:off x="1607820" y="60960"/>
          <a:ext cx="4068410" cy="55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editAs="oneCell">
    <xdr:from>
      <xdr:col>20</xdr:col>
      <xdr:colOff>342900</xdr:colOff>
      <xdr:row>0</xdr:row>
      <xdr:rowOff>7620</xdr:rowOff>
    </xdr:from>
    <xdr:to>
      <xdr:col>21</xdr:col>
      <xdr:colOff>548640</xdr:colOff>
      <xdr:row>2</xdr:row>
      <xdr:rowOff>17780</xdr:rowOff>
    </xdr:to>
    <xdr:pic>
      <xdr:nvPicPr>
        <xdr:cNvPr id="5" name="Picture 4">
          <a:extLst>
            <a:ext uri="{FF2B5EF4-FFF2-40B4-BE49-F238E27FC236}">
              <a16:creationId xmlns:a16="http://schemas.microsoft.com/office/drawing/2014/main" id="{4A59E1F8-D6D6-62E8-CFC6-06B6186B25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73940" y="7620"/>
          <a:ext cx="838200" cy="558800"/>
        </a:xfrm>
        <a:prstGeom prst="rect">
          <a:avLst/>
        </a:prstGeom>
      </xdr:spPr>
    </xdr:pic>
    <xdr:clientData/>
  </xdr:twoCellAnchor>
  <xdr:twoCellAnchor editAs="oneCell">
    <xdr:from>
      <xdr:col>17</xdr:col>
      <xdr:colOff>579120</xdr:colOff>
      <xdr:row>0</xdr:row>
      <xdr:rowOff>167259</xdr:rowOff>
    </xdr:from>
    <xdr:to>
      <xdr:col>20</xdr:col>
      <xdr:colOff>220980</xdr:colOff>
      <xdr:row>1</xdr:row>
      <xdr:rowOff>338243</xdr:rowOff>
    </xdr:to>
    <xdr:pic>
      <xdr:nvPicPr>
        <xdr:cNvPr id="6" name="Picture 5">
          <a:extLst>
            <a:ext uri="{FF2B5EF4-FFF2-40B4-BE49-F238E27FC236}">
              <a16:creationId xmlns:a16="http://schemas.microsoft.com/office/drawing/2014/main" id="{0D46751C-58F0-1654-A322-B39CDCFC3C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19460" y="167259"/>
          <a:ext cx="1470660" cy="353864"/>
        </a:xfrm>
        <a:prstGeom prst="rect">
          <a:avLst/>
        </a:prstGeom>
      </xdr:spPr>
    </xdr:pic>
    <xdr:clientData/>
  </xdr:twoCellAnchor>
  <xdr:twoCellAnchor>
    <xdr:from>
      <xdr:col>5</xdr:col>
      <xdr:colOff>0</xdr:colOff>
      <xdr:row>18</xdr:row>
      <xdr:rowOff>171450</xdr:rowOff>
    </xdr:from>
    <xdr:to>
      <xdr:col>16</xdr:col>
      <xdr:colOff>7620</xdr:colOff>
      <xdr:row>32</xdr:row>
      <xdr:rowOff>0</xdr:rowOff>
    </xdr:to>
    <xdr:graphicFrame macro="">
      <xdr:nvGraphicFramePr>
        <xdr:cNvPr id="7" name="Chart 6">
          <a:extLst>
            <a:ext uri="{FF2B5EF4-FFF2-40B4-BE49-F238E27FC236}">
              <a16:creationId xmlns:a16="http://schemas.microsoft.com/office/drawing/2014/main" id="{614E1A4A-6E05-A9FB-B03D-432BFD785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7620</xdr:colOff>
      <xdr:row>5</xdr:row>
      <xdr:rowOff>45720</xdr:rowOff>
    </xdr:from>
    <xdr:to>
      <xdr:col>21</xdr:col>
      <xdr:colOff>586740</xdr:colOff>
      <xdr:row>16</xdr:row>
      <xdr:rowOff>175260</xdr:rowOff>
    </xdr:to>
    <xdr:graphicFrame macro="">
      <xdr:nvGraphicFramePr>
        <xdr:cNvPr id="8" name="Chart 7">
          <a:extLst>
            <a:ext uri="{FF2B5EF4-FFF2-40B4-BE49-F238E27FC236}">
              <a16:creationId xmlns:a16="http://schemas.microsoft.com/office/drawing/2014/main" id="{9F66BB50-5592-9258-73B6-F56658A2B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251460</xdr:colOff>
      <xdr:row>9</xdr:row>
      <xdr:rowOff>91440</xdr:rowOff>
    </xdr:from>
    <xdr:to>
      <xdr:col>20</xdr:col>
      <xdr:colOff>457200</xdr:colOff>
      <xdr:row>12</xdr:row>
      <xdr:rowOff>91440</xdr:rowOff>
    </xdr:to>
    <xdr:sp macro="" textlink="$T$5">
      <xdr:nvSpPr>
        <xdr:cNvPr id="9" name="Rectangle 8">
          <a:extLst>
            <a:ext uri="{FF2B5EF4-FFF2-40B4-BE49-F238E27FC236}">
              <a16:creationId xmlns:a16="http://schemas.microsoft.com/office/drawing/2014/main" id="{3DADE890-AD63-865F-312A-E0C11D9EA14C}"/>
            </a:ext>
          </a:extLst>
        </xdr:cNvPr>
        <xdr:cNvSpPr/>
      </xdr:nvSpPr>
      <xdr:spPr>
        <a:xfrm>
          <a:off x="11201400" y="1927860"/>
          <a:ext cx="1424940" cy="548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C70820-2338-4E43-8AF3-4430A3EC315F}" type="TxLink">
            <a:rPr lang="en-US" sz="2800" b="0" i="0" u="none" strike="noStrike" kern="1200">
              <a:solidFill>
                <a:sysClr val="windowText" lastClr="000000"/>
              </a:solidFill>
              <a:latin typeface="Calibri"/>
              <a:ea typeface="Calibri"/>
              <a:cs typeface="Calibri"/>
            </a:rPr>
            <a:pPr algn="ctr"/>
            <a:t>79%</a:t>
          </a:fld>
          <a:endParaRPr lang="en-US" sz="2800" kern="1200">
            <a:solidFill>
              <a:sysClr val="windowText" lastClr="000000"/>
            </a:solidFill>
          </a:endParaRPr>
        </a:p>
      </xdr:txBody>
    </xdr:sp>
    <xdr:clientData/>
  </xdr:twoCellAnchor>
  <xdr:twoCellAnchor>
    <xdr:from>
      <xdr:col>19</xdr:col>
      <xdr:colOff>7620</xdr:colOff>
      <xdr:row>11</xdr:row>
      <xdr:rowOff>160020</xdr:rowOff>
    </xdr:from>
    <xdr:to>
      <xdr:col>20</xdr:col>
      <xdr:colOff>76200</xdr:colOff>
      <xdr:row>13</xdr:row>
      <xdr:rowOff>38100</xdr:rowOff>
    </xdr:to>
    <xdr:sp macro="" textlink="">
      <xdr:nvSpPr>
        <xdr:cNvPr id="10" name="TextBox 9">
          <a:extLst>
            <a:ext uri="{FF2B5EF4-FFF2-40B4-BE49-F238E27FC236}">
              <a16:creationId xmlns:a16="http://schemas.microsoft.com/office/drawing/2014/main" id="{E3BDD89B-C50F-F3D7-9293-B6638B64A755}"/>
            </a:ext>
          </a:extLst>
        </xdr:cNvPr>
        <xdr:cNvSpPr txBox="1"/>
      </xdr:nvSpPr>
      <xdr:spPr>
        <a:xfrm>
          <a:off x="11567160" y="236220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30480</xdr:colOff>
      <xdr:row>13</xdr:row>
      <xdr:rowOff>7620</xdr:rowOff>
    </xdr:from>
    <xdr:to>
      <xdr:col>20</xdr:col>
      <xdr:colOff>76200</xdr:colOff>
      <xdr:row>14</xdr:row>
      <xdr:rowOff>83820</xdr:rowOff>
    </xdr:to>
    <xdr:sp macro="" textlink="$S$5">
      <xdr:nvSpPr>
        <xdr:cNvPr id="11" name="Rectangle 10">
          <a:extLst>
            <a:ext uri="{FF2B5EF4-FFF2-40B4-BE49-F238E27FC236}">
              <a16:creationId xmlns:a16="http://schemas.microsoft.com/office/drawing/2014/main" id="{7141D1A6-2CFF-F41E-2881-7E28FDD74AD4}"/>
            </a:ext>
          </a:extLst>
        </xdr:cNvPr>
        <xdr:cNvSpPr/>
      </xdr:nvSpPr>
      <xdr:spPr>
        <a:xfrm>
          <a:off x="11590020" y="2575560"/>
          <a:ext cx="6553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BF392B-A80A-45E7-B3FD-70BE81700E17}" type="TxLink">
            <a:rPr lang="en-US" sz="1200" b="0" i="0" u="none" strike="noStrike" kern="1200">
              <a:solidFill>
                <a:sysClr val="windowText" lastClr="000000"/>
              </a:solidFill>
              <a:latin typeface="Calibri"/>
              <a:ea typeface="Calibri"/>
              <a:cs typeface="Calibri"/>
            </a:rPr>
            <a:pPr algn="ctr"/>
            <a:t>70%</a:t>
          </a:fld>
          <a:endParaRPr lang="en-US" sz="1200" kern="1200">
            <a:solidFill>
              <a:sysClr val="windowText" lastClr="000000"/>
            </a:solidFill>
          </a:endParaRPr>
        </a:p>
      </xdr:txBody>
    </xdr:sp>
    <xdr:clientData/>
  </xdr:twoCellAnchor>
  <xdr:twoCellAnchor>
    <xdr:from>
      <xdr:col>16</xdr:col>
      <xdr:colOff>594360</xdr:colOff>
      <xdr:row>20</xdr:row>
      <xdr:rowOff>45720</xdr:rowOff>
    </xdr:from>
    <xdr:to>
      <xdr:col>21</xdr:col>
      <xdr:colOff>594360</xdr:colOff>
      <xdr:row>32</xdr:row>
      <xdr:rowOff>7620</xdr:rowOff>
    </xdr:to>
    <xdr:graphicFrame macro="">
      <xdr:nvGraphicFramePr>
        <xdr:cNvPr id="12" name="Chart 11">
          <a:extLst>
            <a:ext uri="{FF2B5EF4-FFF2-40B4-BE49-F238E27FC236}">
              <a16:creationId xmlns:a16="http://schemas.microsoft.com/office/drawing/2014/main" id="{D6834681-270D-45F5-563B-998BAFDB3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213360</xdr:colOff>
      <xdr:row>24</xdr:row>
      <xdr:rowOff>106680</xdr:rowOff>
    </xdr:from>
    <xdr:to>
      <xdr:col>20</xdr:col>
      <xdr:colOff>403860</xdr:colOff>
      <xdr:row>27</xdr:row>
      <xdr:rowOff>91440</xdr:rowOff>
    </xdr:to>
    <xdr:sp macro="" textlink="$T$20">
      <xdr:nvSpPr>
        <xdr:cNvPr id="4" name="Rectangle 3">
          <a:extLst>
            <a:ext uri="{FF2B5EF4-FFF2-40B4-BE49-F238E27FC236}">
              <a16:creationId xmlns:a16="http://schemas.microsoft.com/office/drawing/2014/main" id="{1581F715-4432-47E2-5CC5-49FAF17627D5}"/>
            </a:ext>
          </a:extLst>
        </xdr:cNvPr>
        <xdr:cNvSpPr/>
      </xdr:nvSpPr>
      <xdr:spPr>
        <a:xfrm>
          <a:off x="11391900" y="4754880"/>
          <a:ext cx="1409700" cy="533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C073FA-7853-4D93-A6C3-0A5464B02965}" type="TxLink">
            <a:rPr lang="en-US" sz="2800" b="0" i="0" u="none" strike="noStrike" kern="1200">
              <a:solidFill>
                <a:sysClr val="windowText" lastClr="000000"/>
              </a:solidFill>
              <a:latin typeface="Calibri"/>
              <a:ea typeface="Calibri"/>
              <a:cs typeface="Calibri"/>
            </a:rPr>
            <a:pPr algn="ctr"/>
            <a:t>96%</a:t>
          </a:fld>
          <a:endParaRPr lang="en-US" sz="2800" kern="1200">
            <a:solidFill>
              <a:sysClr val="windowText" lastClr="000000"/>
            </a:solidFill>
          </a:endParaRPr>
        </a:p>
      </xdr:txBody>
    </xdr:sp>
    <xdr:clientData/>
  </xdr:twoCellAnchor>
  <xdr:twoCellAnchor>
    <xdr:from>
      <xdr:col>18</xdr:col>
      <xdr:colOff>556260</xdr:colOff>
      <xdr:row>26</xdr:row>
      <xdr:rowOff>144780</xdr:rowOff>
    </xdr:from>
    <xdr:to>
      <xdr:col>20</xdr:col>
      <xdr:colOff>15240</xdr:colOff>
      <xdr:row>28</xdr:row>
      <xdr:rowOff>22860</xdr:rowOff>
    </xdr:to>
    <xdr:sp macro="" textlink="">
      <xdr:nvSpPr>
        <xdr:cNvPr id="13" name="TextBox 12">
          <a:extLst>
            <a:ext uri="{FF2B5EF4-FFF2-40B4-BE49-F238E27FC236}">
              <a16:creationId xmlns:a16="http://schemas.microsoft.com/office/drawing/2014/main" id="{E04336A8-A488-4005-9B0D-731950DC84BB}"/>
            </a:ext>
          </a:extLst>
        </xdr:cNvPr>
        <xdr:cNvSpPr txBox="1"/>
      </xdr:nvSpPr>
      <xdr:spPr>
        <a:xfrm>
          <a:off x="11734800" y="515874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45720</xdr:colOff>
      <xdr:row>27</xdr:row>
      <xdr:rowOff>137160</xdr:rowOff>
    </xdr:from>
    <xdr:to>
      <xdr:col>20</xdr:col>
      <xdr:colOff>7620</xdr:colOff>
      <xdr:row>29</xdr:row>
      <xdr:rowOff>30480</xdr:rowOff>
    </xdr:to>
    <xdr:sp macro="" textlink="$S$20">
      <xdr:nvSpPr>
        <xdr:cNvPr id="14" name="Rectangle 13">
          <a:extLst>
            <a:ext uri="{FF2B5EF4-FFF2-40B4-BE49-F238E27FC236}">
              <a16:creationId xmlns:a16="http://schemas.microsoft.com/office/drawing/2014/main" id="{AC211820-422E-AAA6-77EC-5DC99340ABE8}"/>
            </a:ext>
          </a:extLst>
        </xdr:cNvPr>
        <xdr:cNvSpPr/>
      </xdr:nvSpPr>
      <xdr:spPr>
        <a:xfrm>
          <a:off x="11833860" y="5334000"/>
          <a:ext cx="57150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31DAEE-6110-44DC-BFE2-7A7D25A2CB6E}" type="TxLink">
            <a:rPr lang="en-US" sz="1200" b="0" i="0" u="none" strike="noStrike" kern="1200">
              <a:solidFill>
                <a:sysClr val="windowText" lastClr="000000"/>
              </a:solidFill>
              <a:latin typeface="Calibri"/>
              <a:ea typeface="Calibri"/>
              <a:cs typeface="Calibri"/>
            </a:rPr>
            <a:pPr algn="ctr"/>
            <a:t>88%</a:t>
          </a:fld>
          <a:endParaRPr lang="en-US" sz="1200" kern="1200">
            <a:solidFill>
              <a:sysClr val="windowText" lastClr="000000"/>
            </a:solidFill>
          </a:endParaRPr>
        </a:p>
      </xdr:txBody>
    </xdr:sp>
    <xdr:clientData/>
  </xdr:twoCellAnchor>
  <xdr:twoCellAnchor>
    <xdr:from>
      <xdr:col>4</xdr:col>
      <xdr:colOff>350520</xdr:colOff>
      <xdr:row>33</xdr:row>
      <xdr:rowOff>186690</xdr:rowOff>
    </xdr:from>
    <xdr:to>
      <xdr:col>16</xdr:col>
      <xdr:colOff>228600</xdr:colOff>
      <xdr:row>49</xdr:row>
      <xdr:rowOff>7620</xdr:rowOff>
    </xdr:to>
    <xdr:graphicFrame macro="">
      <xdr:nvGraphicFramePr>
        <xdr:cNvPr id="15" name="Chart 14">
          <a:extLst>
            <a:ext uri="{FF2B5EF4-FFF2-40B4-BE49-F238E27FC236}">
              <a16:creationId xmlns:a16="http://schemas.microsoft.com/office/drawing/2014/main" id="{37887052-7F60-6620-F228-05D029BD3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594360</xdr:colOff>
      <xdr:row>35</xdr:row>
      <xdr:rowOff>118110</xdr:rowOff>
    </xdr:from>
    <xdr:to>
      <xdr:col>22</xdr:col>
      <xdr:colOff>30480</xdr:colOff>
      <xdr:row>49</xdr:row>
      <xdr:rowOff>22860</xdr:rowOff>
    </xdr:to>
    <xdr:graphicFrame macro="">
      <xdr:nvGraphicFramePr>
        <xdr:cNvPr id="16" name="Chart 15">
          <a:extLst>
            <a:ext uri="{FF2B5EF4-FFF2-40B4-BE49-F238E27FC236}">
              <a16:creationId xmlns:a16="http://schemas.microsoft.com/office/drawing/2014/main" id="{5D9F10C8-78F1-B7DA-4B46-6DAFD575A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281940</xdr:colOff>
      <xdr:row>51</xdr:row>
      <xdr:rowOff>3810</xdr:rowOff>
    </xdr:from>
    <xdr:to>
      <xdr:col>16</xdr:col>
      <xdr:colOff>236220</xdr:colOff>
      <xdr:row>63</xdr:row>
      <xdr:rowOff>0</xdr:rowOff>
    </xdr:to>
    <xdr:graphicFrame macro="">
      <xdr:nvGraphicFramePr>
        <xdr:cNvPr id="17" name="Chart 16">
          <a:extLst>
            <a:ext uri="{FF2B5EF4-FFF2-40B4-BE49-F238E27FC236}">
              <a16:creationId xmlns:a16="http://schemas.microsoft.com/office/drawing/2014/main" id="{509747D5-ABB4-ED0C-9D7A-E3510EDBD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198120</xdr:colOff>
      <xdr:row>63</xdr:row>
      <xdr:rowOff>179070</xdr:rowOff>
    </xdr:from>
    <xdr:to>
      <xdr:col>11</xdr:col>
      <xdr:colOff>0</xdr:colOff>
      <xdr:row>77</xdr:row>
      <xdr:rowOff>7620</xdr:rowOff>
    </xdr:to>
    <xdr:graphicFrame macro="">
      <xdr:nvGraphicFramePr>
        <xdr:cNvPr id="18" name="Chart 17">
          <a:extLst>
            <a:ext uri="{FF2B5EF4-FFF2-40B4-BE49-F238E27FC236}">
              <a16:creationId xmlns:a16="http://schemas.microsoft.com/office/drawing/2014/main" id="{58A69E04-8C8D-2E11-317F-0DF450856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7474</xdr:colOff>
      <xdr:row>63</xdr:row>
      <xdr:rowOff>77694</xdr:rowOff>
    </xdr:from>
    <xdr:to>
      <xdr:col>19</xdr:col>
      <xdr:colOff>29885</xdr:colOff>
      <xdr:row>70</xdr:row>
      <xdr:rowOff>201706</xdr:rowOff>
    </xdr:to>
    <xdr:graphicFrame macro="">
      <xdr:nvGraphicFramePr>
        <xdr:cNvPr id="19" name="Chart 18">
          <a:extLst>
            <a:ext uri="{FF2B5EF4-FFF2-40B4-BE49-F238E27FC236}">
              <a16:creationId xmlns:a16="http://schemas.microsoft.com/office/drawing/2014/main" id="{E2FF636A-3685-433C-F821-08420AF0D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605118</xdr:colOff>
      <xdr:row>71</xdr:row>
      <xdr:rowOff>67235</xdr:rowOff>
    </xdr:from>
    <xdr:to>
      <xdr:col>19</xdr:col>
      <xdr:colOff>14941</xdr:colOff>
      <xdr:row>78</xdr:row>
      <xdr:rowOff>131483</xdr:rowOff>
    </xdr:to>
    <xdr:graphicFrame macro="">
      <xdr:nvGraphicFramePr>
        <xdr:cNvPr id="20" name="Chart 19">
          <a:extLst>
            <a:ext uri="{FF2B5EF4-FFF2-40B4-BE49-F238E27FC236}">
              <a16:creationId xmlns:a16="http://schemas.microsoft.com/office/drawing/2014/main" id="{C2E943BE-7B6D-4C13-837C-1246269AB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59765</xdr:colOff>
      <xdr:row>66</xdr:row>
      <xdr:rowOff>74708</xdr:rowOff>
    </xdr:from>
    <xdr:to>
      <xdr:col>17</xdr:col>
      <xdr:colOff>567765</xdr:colOff>
      <xdr:row>69</xdr:row>
      <xdr:rowOff>67236</xdr:rowOff>
    </xdr:to>
    <xdr:sp macro="" textlink="$O$67">
      <xdr:nvSpPr>
        <xdr:cNvPr id="21" name="Rectangle 20">
          <a:extLst>
            <a:ext uri="{FF2B5EF4-FFF2-40B4-BE49-F238E27FC236}">
              <a16:creationId xmlns:a16="http://schemas.microsoft.com/office/drawing/2014/main" id="{144E5ABB-5880-A340-EED4-28D83EA7AFB9}"/>
            </a:ext>
          </a:extLst>
        </xdr:cNvPr>
        <xdr:cNvSpPr/>
      </xdr:nvSpPr>
      <xdr:spPr>
        <a:xfrm>
          <a:off x="10062883" y="12423590"/>
          <a:ext cx="1120588" cy="64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15C4EC-A8E0-4900-A5A0-7AE63BF367C7}" type="TxLink">
            <a:rPr lang="en-US" sz="2400" b="0" i="0" u="none" strike="noStrike" kern="1200">
              <a:solidFill>
                <a:sysClr val="windowText" lastClr="000000"/>
              </a:solidFill>
              <a:latin typeface="Calibri"/>
              <a:ea typeface="Calibri"/>
              <a:cs typeface="Calibri"/>
            </a:rPr>
            <a:pPr algn="ctr"/>
            <a:t>50%</a:t>
          </a:fld>
          <a:endParaRPr lang="en-US" sz="2400" kern="1200">
            <a:solidFill>
              <a:sysClr val="windowText" lastClr="000000"/>
            </a:solidFill>
          </a:endParaRPr>
        </a:p>
      </xdr:txBody>
    </xdr:sp>
    <xdr:clientData/>
  </xdr:twoCellAnchor>
  <xdr:twoCellAnchor>
    <xdr:from>
      <xdr:col>16</xdr:col>
      <xdr:colOff>186763</xdr:colOff>
      <xdr:row>74</xdr:row>
      <xdr:rowOff>89646</xdr:rowOff>
    </xdr:from>
    <xdr:to>
      <xdr:col>17</xdr:col>
      <xdr:colOff>433293</xdr:colOff>
      <xdr:row>76</xdr:row>
      <xdr:rowOff>89646</xdr:rowOff>
    </xdr:to>
    <xdr:sp macro="" textlink="$O$74">
      <xdr:nvSpPr>
        <xdr:cNvPr id="22" name="Rectangle 21">
          <a:extLst>
            <a:ext uri="{FF2B5EF4-FFF2-40B4-BE49-F238E27FC236}">
              <a16:creationId xmlns:a16="http://schemas.microsoft.com/office/drawing/2014/main" id="{4CCCCB15-A5D2-170E-AD8F-E48426EA1542}"/>
            </a:ext>
          </a:extLst>
        </xdr:cNvPr>
        <xdr:cNvSpPr/>
      </xdr:nvSpPr>
      <xdr:spPr>
        <a:xfrm>
          <a:off x="10189881" y="14171705"/>
          <a:ext cx="859118" cy="433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682132-ED37-4DE5-9BBA-94B1ED4F6B4A}" type="TxLink">
            <a:rPr lang="en-US" sz="2400" b="0" i="0" u="none" strike="noStrike" kern="1200">
              <a:solidFill>
                <a:sysClr val="windowText" lastClr="000000"/>
              </a:solidFill>
              <a:latin typeface="Calibri"/>
              <a:ea typeface="Calibri"/>
              <a:cs typeface="Calibri"/>
            </a:rPr>
            <a:pPr algn="ctr"/>
            <a:t>75%</a:t>
          </a:fld>
          <a:endParaRPr lang="en-US" sz="2400" kern="1200">
            <a:solidFill>
              <a:sysClr val="windowText" lastClr="000000"/>
            </a:solidFill>
          </a:endParaRPr>
        </a:p>
      </xdr:txBody>
    </xdr:sp>
    <xdr:clientData/>
  </xdr:twoCellAnchor>
  <xdr:twoCellAnchor>
    <xdr:from>
      <xdr:col>7</xdr:col>
      <xdr:colOff>82176</xdr:colOff>
      <xdr:row>69</xdr:row>
      <xdr:rowOff>112060</xdr:rowOff>
    </xdr:from>
    <xdr:to>
      <xdr:col>9</xdr:col>
      <xdr:colOff>127000</xdr:colOff>
      <xdr:row>71</xdr:row>
      <xdr:rowOff>209178</xdr:rowOff>
    </xdr:to>
    <xdr:sp macro="" textlink="$E$78">
      <xdr:nvSpPr>
        <xdr:cNvPr id="23" name="Rectangle 22">
          <a:extLst>
            <a:ext uri="{FF2B5EF4-FFF2-40B4-BE49-F238E27FC236}">
              <a16:creationId xmlns:a16="http://schemas.microsoft.com/office/drawing/2014/main" id="{9F2AF7C2-D21C-6859-8279-947151D70E03}"/>
            </a:ext>
          </a:extLst>
        </xdr:cNvPr>
        <xdr:cNvSpPr/>
      </xdr:nvSpPr>
      <xdr:spPr>
        <a:xfrm>
          <a:off x="4572000" y="13110884"/>
          <a:ext cx="1270000" cy="5304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2B2E41-D5BF-482E-8465-5BA7C7AFFFFE}" type="TxLink">
            <a:rPr lang="en-US" sz="3200" b="0" i="0" u="none" strike="noStrike" kern="1200">
              <a:solidFill>
                <a:srgbClr val="000000"/>
              </a:solidFill>
              <a:latin typeface="Calibri"/>
              <a:ea typeface="Calibri"/>
              <a:cs typeface="Calibri"/>
            </a:rPr>
            <a:pPr algn="ctr"/>
            <a:t>60.0%</a:t>
          </a:fld>
          <a:endParaRPr lang="en-US" sz="3200" kern="1200"/>
        </a:p>
      </xdr:txBody>
    </xdr:sp>
    <xdr:clientData/>
  </xdr:twoCellAnchor>
  <xdr:twoCellAnchor>
    <xdr:from>
      <xdr:col>18</xdr:col>
      <xdr:colOff>410881</xdr:colOff>
      <xdr:row>40</xdr:row>
      <xdr:rowOff>82174</xdr:rowOff>
    </xdr:from>
    <xdr:to>
      <xdr:col>20</xdr:col>
      <xdr:colOff>209175</xdr:colOff>
      <xdr:row>43</xdr:row>
      <xdr:rowOff>126997</xdr:rowOff>
    </xdr:to>
    <xdr:sp macro="" textlink="$T$35">
      <xdr:nvSpPr>
        <xdr:cNvPr id="24" name="Rectangle 23">
          <a:extLst>
            <a:ext uri="{FF2B5EF4-FFF2-40B4-BE49-F238E27FC236}">
              <a16:creationId xmlns:a16="http://schemas.microsoft.com/office/drawing/2014/main" id="{948D3751-2980-1255-0FF1-64DC14A1F790}"/>
            </a:ext>
          </a:extLst>
        </xdr:cNvPr>
        <xdr:cNvSpPr/>
      </xdr:nvSpPr>
      <xdr:spPr>
        <a:xfrm>
          <a:off x="11639175" y="7657350"/>
          <a:ext cx="1023471" cy="5827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9F8B9A-CDAA-49CC-82E6-1A33E2CC9F19}" type="TxLink">
            <a:rPr lang="en-US" sz="3200" b="0" i="0" u="none" strike="noStrike" kern="1200">
              <a:solidFill>
                <a:srgbClr val="000000"/>
              </a:solidFill>
              <a:latin typeface="Calibri"/>
              <a:ea typeface="Calibri"/>
              <a:cs typeface="Calibri"/>
            </a:rPr>
            <a:pPr algn="ctr"/>
            <a:t>69%</a:t>
          </a:fld>
          <a:endParaRPr lang="en-US" sz="3200" kern="1200"/>
        </a:p>
      </xdr:txBody>
    </xdr:sp>
    <xdr:clientData/>
  </xdr:twoCellAnchor>
  <xdr:twoCellAnchor>
    <xdr:from>
      <xdr:col>18</xdr:col>
      <xdr:colOff>605117</xdr:colOff>
      <xdr:row>43</xdr:row>
      <xdr:rowOff>37351</xdr:rowOff>
    </xdr:from>
    <xdr:to>
      <xdr:col>19</xdr:col>
      <xdr:colOff>590176</xdr:colOff>
      <xdr:row>44</xdr:row>
      <xdr:rowOff>171821</xdr:rowOff>
    </xdr:to>
    <xdr:sp macro="" textlink="">
      <xdr:nvSpPr>
        <xdr:cNvPr id="25" name="TextBox 24">
          <a:extLst>
            <a:ext uri="{FF2B5EF4-FFF2-40B4-BE49-F238E27FC236}">
              <a16:creationId xmlns:a16="http://schemas.microsoft.com/office/drawing/2014/main" id="{136A2E4C-E68A-9E08-1296-A4A6D78C6D5A}"/>
            </a:ext>
          </a:extLst>
        </xdr:cNvPr>
        <xdr:cNvSpPr txBox="1"/>
      </xdr:nvSpPr>
      <xdr:spPr>
        <a:xfrm>
          <a:off x="11833411" y="8150410"/>
          <a:ext cx="5976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18</xdr:col>
      <xdr:colOff>590176</xdr:colOff>
      <xdr:row>44</xdr:row>
      <xdr:rowOff>112059</xdr:rowOff>
    </xdr:from>
    <xdr:to>
      <xdr:col>19</xdr:col>
      <xdr:colOff>605117</xdr:colOff>
      <xdr:row>46</xdr:row>
      <xdr:rowOff>14941</xdr:rowOff>
    </xdr:to>
    <xdr:sp macro="" textlink="$S$35">
      <xdr:nvSpPr>
        <xdr:cNvPr id="26" name="Rectangle 25">
          <a:extLst>
            <a:ext uri="{FF2B5EF4-FFF2-40B4-BE49-F238E27FC236}">
              <a16:creationId xmlns:a16="http://schemas.microsoft.com/office/drawing/2014/main" id="{8DFE44DE-8B0E-8007-F0F0-A7506A1412EF}"/>
            </a:ext>
          </a:extLst>
        </xdr:cNvPr>
        <xdr:cNvSpPr/>
      </xdr:nvSpPr>
      <xdr:spPr>
        <a:xfrm>
          <a:off x="11818470" y="8404412"/>
          <a:ext cx="627529" cy="261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7067C3-4598-4495-BD74-5250DC14BB65}" type="TxLink">
            <a:rPr lang="en-US" sz="1200" b="0" i="0" u="none" strike="noStrike" kern="1200">
              <a:solidFill>
                <a:srgbClr val="000000"/>
              </a:solidFill>
              <a:latin typeface="Calibri"/>
              <a:ea typeface="Calibri"/>
              <a:cs typeface="Calibri"/>
            </a:rPr>
            <a:pPr algn="ctr"/>
            <a:t>74%</a:t>
          </a:fld>
          <a:endParaRPr lang="en-US" sz="1200" kern="1200"/>
        </a:p>
      </xdr:txBody>
    </xdr:sp>
    <xdr:clientData/>
  </xdr:twoCellAnchor>
  <xdr:twoCellAnchor>
    <xdr:from>
      <xdr:col>17</xdr:col>
      <xdr:colOff>3734</xdr:colOff>
      <xdr:row>51</xdr:row>
      <xdr:rowOff>0</xdr:rowOff>
    </xdr:from>
    <xdr:to>
      <xdr:col>21</xdr:col>
      <xdr:colOff>597647</xdr:colOff>
      <xdr:row>63</xdr:row>
      <xdr:rowOff>0</xdr:rowOff>
    </xdr:to>
    <xdr:graphicFrame macro="">
      <xdr:nvGraphicFramePr>
        <xdr:cNvPr id="28" name="Chart 27">
          <a:extLst>
            <a:ext uri="{FF2B5EF4-FFF2-40B4-BE49-F238E27FC236}">
              <a16:creationId xmlns:a16="http://schemas.microsoft.com/office/drawing/2014/main" id="{5331F5DB-CC6E-0358-CF1F-5660BF0CF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351120</xdr:colOff>
      <xdr:row>55</xdr:row>
      <xdr:rowOff>89646</xdr:rowOff>
    </xdr:from>
    <xdr:to>
      <xdr:col>20</xdr:col>
      <xdr:colOff>254001</xdr:colOff>
      <xdr:row>58</xdr:row>
      <xdr:rowOff>89647</xdr:rowOff>
    </xdr:to>
    <xdr:sp macro="" textlink="$S$52">
      <xdr:nvSpPr>
        <xdr:cNvPr id="27" name="Rectangle 26">
          <a:extLst>
            <a:ext uri="{FF2B5EF4-FFF2-40B4-BE49-F238E27FC236}">
              <a16:creationId xmlns:a16="http://schemas.microsoft.com/office/drawing/2014/main" id="{61627E40-C83B-57BE-3836-F51E5AF3398C}"/>
            </a:ext>
          </a:extLst>
        </xdr:cNvPr>
        <xdr:cNvSpPr/>
      </xdr:nvSpPr>
      <xdr:spPr>
        <a:xfrm>
          <a:off x="11579414" y="10436411"/>
          <a:ext cx="1128058" cy="5378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E660D1-F49B-4405-9563-EC989D5B747C}" type="TxLink">
            <a:rPr lang="en-US" sz="2800" b="0" i="0" u="none" strike="noStrike" kern="1200">
              <a:solidFill>
                <a:srgbClr val="000000"/>
              </a:solidFill>
              <a:latin typeface="Calibri"/>
              <a:ea typeface="Calibri"/>
              <a:cs typeface="Calibri"/>
            </a:rPr>
            <a:pPr algn="ctr"/>
            <a:t>100%</a:t>
          </a:fld>
          <a:endParaRPr lang="en-US" sz="2800" kern="1200"/>
        </a:p>
      </xdr:txBody>
    </xdr:sp>
    <xdr:clientData/>
  </xdr:twoCellAnchor>
  <xdr:twoCellAnchor>
    <xdr:from>
      <xdr:col>18</xdr:col>
      <xdr:colOff>582705</xdr:colOff>
      <xdr:row>58</xdr:row>
      <xdr:rowOff>14941</xdr:rowOff>
    </xdr:from>
    <xdr:to>
      <xdr:col>20</xdr:col>
      <xdr:colOff>67234</xdr:colOff>
      <xdr:row>60</xdr:row>
      <xdr:rowOff>156882</xdr:rowOff>
    </xdr:to>
    <xdr:sp macro="" textlink="">
      <xdr:nvSpPr>
        <xdr:cNvPr id="29" name="TextBox 28">
          <a:extLst>
            <a:ext uri="{FF2B5EF4-FFF2-40B4-BE49-F238E27FC236}">
              <a16:creationId xmlns:a16="http://schemas.microsoft.com/office/drawing/2014/main" id="{7BC696F7-5EC9-02ED-9DAA-4F0911CA7279}"/>
            </a:ext>
          </a:extLst>
        </xdr:cNvPr>
        <xdr:cNvSpPr txBox="1"/>
      </xdr:nvSpPr>
      <xdr:spPr>
        <a:xfrm>
          <a:off x="11810999" y="10899588"/>
          <a:ext cx="709706" cy="50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100" kern="1200">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ssangroupnam.sharepoint.com/sites/NA_NNA_000852/Shared%20Documents/DND/OC%20FY25/WB%20OR%20Material%20FY25.xlsx" TargetMode="External"/><Relationship Id="rId1" Type="http://schemas.openxmlformats.org/officeDocument/2006/relationships/externalLinkPath" Target="https://nissangroupnam.sharepoint.com/sites/NA_NNA_000852/Shared%20Documents/DND/OC%20FY25/WB%20OR%20Material%20FY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25"/>
      <sheetName val="OR Q1"/>
      <sheetName val="OR Q2"/>
      <sheetName val="AP25JUL"/>
      <sheetName val="OR AUG"/>
      <sheetName val="AP25AUG"/>
      <sheetName val="OR SEP"/>
      <sheetName val="AP25SEP"/>
      <sheetName val="OROCT"/>
      <sheetName val="AP25OCT"/>
      <sheetName val="Sheet1"/>
      <sheetName val="Sheet2"/>
      <sheetName val="Grupo Q"/>
    </sheetNames>
    <sheetDataSet>
      <sheetData sheetId="0"/>
      <sheetData sheetId="1"/>
      <sheetData sheetId="2"/>
      <sheetData sheetId="3"/>
      <sheetData sheetId="4"/>
      <sheetData sheetId="5"/>
      <sheetData sheetId="6">
        <row r="3">
          <cell r="Y3">
            <v>3</v>
          </cell>
        </row>
        <row r="4">
          <cell r="W4" t="str">
            <v>NSC</v>
          </cell>
          <cell r="X4" t="str">
            <v>Target</v>
          </cell>
          <cell r="Y4" t="str">
            <v>SEP</v>
          </cell>
          <cell r="Z4" t="str">
            <v>%Achie.</v>
          </cell>
        </row>
        <row r="5">
          <cell r="W5" t="str">
            <v>ECA</v>
          </cell>
          <cell r="X5">
            <v>0.37359413202933978</v>
          </cell>
          <cell r="Y5">
            <v>0.65721271393643033</v>
          </cell>
          <cell r="Z5">
            <v>1.7591623036649218</v>
          </cell>
        </row>
        <row r="6">
          <cell r="W6" t="str">
            <v>CST</v>
          </cell>
          <cell r="X6">
            <v>0.40206933414783147</v>
          </cell>
          <cell r="Y6">
            <v>0.54276114844227241</v>
          </cell>
          <cell r="Z6">
            <v>1.3499192859177662</v>
          </cell>
        </row>
        <row r="7">
          <cell r="W7" t="str">
            <v>URU</v>
          </cell>
          <cell r="X7">
            <v>0.38670935029219661</v>
          </cell>
          <cell r="Y7">
            <v>0.41010656583018218</v>
          </cell>
          <cell r="Z7">
            <v>1.0605033612978498</v>
          </cell>
        </row>
        <row r="8">
          <cell r="W8" t="str">
            <v>COL</v>
          </cell>
          <cell r="X8">
            <v>0.55988951276942556</v>
          </cell>
          <cell r="Y8">
            <v>0.61320412968665094</v>
          </cell>
          <cell r="Z8">
            <v>1.0952234605244009</v>
          </cell>
        </row>
        <row r="9">
          <cell r="W9" t="str">
            <v>PLT</v>
          </cell>
          <cell r="X9">
            <v>0.39918108831400534</v>
          </cell>
          <cell r="Y9">
            <v>0.42694023193577163</v>
          </cell>
          <cell r="Z9">
            <v>1.0695402273164061</v>
          </cell>
        </row>
        <row r="10">
          <cell r="W10" t="str">
            <v>PNM</v>
          </cell>
          <cell r="X10">
            <v>0.54300736067297595</v>
          </cell>
          <cell r="Y10">
            <v>0.71503680336487907</v>
          </cell>
          <cell r="Z10">
            <v>1.3168086754453909</v>
          </cell>
        </row>
        <row r="11">
          <cell r="W11" t="str">
            <v>BOL</v>
          </cell>
          <cell r="X11">
            <v>0.57692901234567906</v>
          </cell>
          <cell r="Y11">
            <v>0.53086419753086422</v>
          </cell>
          <cell r="Z11">
            <v>0.92015514243680618</v>
          </cell>
        </row>
        <row r="12">
          <cell r="W12" t="str">
            <v>PRG</v>
          </cell>
          <cell r="X12">
            <v>0.61378299120234625</v>
          </cell>
          <cell r="Y12">
            <v>0.68768328445747806</v>
          </cell>
          <cell r="Z12">
            <v>1.1204013377926418</v>
          </cell>
        </row>
        <row r="13">
          <cell r="W13" t="str">
            <v>NIC</v>
          </cell>
          <cell r="X13">
            <v>0.5908415841584157</v>
          </cell>
          <cell r="Y13">
            <v>0.50990099009900991</v>
          </cell>
          <cell r="Z13">
            <v>0.8630079597821535</v>
          </cell>
        </row>
        <row r="14">
          <cell r="W14" t="str">
            <v>ELS</v>
          </cell>
          <cell r="X14">
            <v>0.51340579710144907</v>
          </cell>
          <cell r="Y14">
            <v>0.53623188405797106</v>
          </cell>
          <cell r="Z14">
            <v>1.0444601270289349</v>
          </cell>
        </row>
        <row r="15">
          <cell r="W15" t="str">
            <v>GUT</v>
          </cell>
          <cell r="X15">
            <v>0.45523529411764718</v>
          </cell>
          <cell r="Y15">
            <v>0.46352941176470586</v>
          </cell>
          <cell r="Z15">
            <v>1.0182194081922726</v>
          </cell>
        </row>
        <row r="16">
          <cell r="W16" t="str">
            <v>DOM</v>
          </cell>
          <cell r="X16">
            <v>0.66651011560693663</v>
          </cell>
          <cell r="Y16">
            <v>0.71242774566473988</v>
          </cell>
          <cell r="Z16">
            <v>1.0688926229063902</v>
          </cell>
        </row>
        <row r="17">
          <cell r="W17" t="str">
            <v>HND</v>
          </cell>
          <cell r="X17">
            <v>0.49192139737991281</v>
          </cell>
          <cell r="Y17">
            <v>0.4606986899563319</v>
          </cell>
          <cell r="Z17">
            <v>0.93652907234798022</v>
          </cell>
        </row>
        <row r="18">
          <cell r="W18" t="str">
            <v>TRD</v>
          </cell>
          <cell r="X18">
            <v>0.30026525198938997</v>
          </cell>
          <cell r="Y18">
            <v>0.29708222811671087</v>
          </cell>
          <cell r="Z18">
            <v>0.98939929328621889</v>
          </cell>
        </row>
        <row r="19">
          <cell r="W19" t="str">
            <v>Massy</v>
          </cell>
          <cell r="Z19">
            <v>0.75887761572606216</v>
          </cell>
        </row>
        <row r="20">
          <cell r="W20" t="str">
            <v>GEL</v>
          </cell>
          <cell r="X20">
            <v>0.44284793814432999</v>
          </cell>
          <cell r="Y20">
            <v>0.32989690721649484</v>
          </cell>
          <cell r="Z20">
            <v>0.74494398370435022</v>
          </cell>
        </row>
        <row r="21">
          <cell r="W21" t="str">
            <v>R9</v>
          </cell>
          <cell r="X21">
            <v>0.29642857142857149</v>
          </cell>
          <cell r="Y21">
            <v>7.5187969924812026E-3</v>
          </cell>
          <cell r="Z21">
            <v>2.5364616360177547E-2</v>
          </cell>
        </row>
      </sheetData>
      <sheetData sheetId="7"/>
      <sheetData sheetId="8"/>
      <sheetData sheetId="9"/>
      <sheetData sheetId="10"/>
      <sheetData sheetId="11"/>
      <sheetData sheetId="12"/>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C99010B-711E-436F-BD3F-CD2F07867A46}" sourceName="Priority">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DM" xr10:uid="{F98447DB-2249-4A79-BF92-D931CDED8D01}" sourceName="BDM">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 xr10:uid="{E761CCBB-59E0-4415-A983-0A5806A50CDE}" sourceName="RAM">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259AE0F3-9BD3-4DCB-8E97-2F1A4568D990}" cache="Slicer_Priority" caption="Priority" style="SlicerStyleLight2" rowHeight="247650"/>
  <slicer name="BDM" xr10:uid="{2031777E-B442-46D4-A8CF-74D4FC24AD08}" cache="Slicer_BDM" caption="BDM" columnCount="2" style="SlicerStyleOther2" rowHeight="247650"/>
  <slicer name="RAM" xr10:uid="{24C34040-70FA-4140-9E75-4751BE27C791}" cache="Slicer_RAM" caption="RAM" columnCount="2"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BE076-7B64-4647-B656-5F0DF687DD05}" name="Table1" displayName="Table1" ref="B10:BC25" totalsRowShown="0" headerRowDxfId="58" dataDxfId="56" headerRowBorderDxfId="57" tableBorderDxfId="55" totalsRowBorderDxfId="54">
  <autoFilter ref="B10:BC25" xr:uid="{3B2BE076-7B64-4647-B656-5F0DF687DD05}">
    <filterColumn colId="1">
      <filters>
        <filter val="Pablo Brito"/>
      </filters>
    </filterColumn>
  </autoFilter>
  <tableColumns count="54">
    <tableColumn id="1" xr3:uid="{D92932B9-E586-465B-8320-B95947B39877}" name="Priority" dataDxfId="53"/>
    <tableColumn id="2" xr3:uid="{1931E4B3-E228-4141-8B0D-75646D905D39}" name="BDM" dataDxfId="52"/>
    <tableColumn id="3" xr3:uid="{D68C4FFA-1D0F-4894-B8F9-427273726447}" name="RAM" dataDxfId="51"/>
    <tableColumn id="4" xr3:uid="{7FBC203C-5B73-4411-AC9F-27616F24427A}" name="Market" dataDxfId="50"/>
    <tableColumn id="5" xr3:uid="{4D17F0DE-2289-4108-813C-1EC4FB2C4667}" name="CSI" dataDxfId="49"/>
    <tableColumn id="6" xr3:uid="{A9BE6C00-C4EA-4DA4-A459-9B1A5B44AE0E}" name="Real CSI" dataDxfId="48"/>
    <tableColumn id="7" xr3:uid="{AE047D54-8D76-4EDE-8D02-0F0752AD0047}" name="%Ach. CSI" dataDxfId="47"/>
    <tableColumn id="8" xr3:uid="{43D2307B-6A15-4549-9641-2C17E398483F}" name="pts CSI" dataDxfId="46"/>
    <tableColumn id="9" xr3:uid="{00ADE75E-A055-4F84-816E-9F91D07438D5}" name="SSI" dataDxfId="45"/>
    <tableColumn id="10" xr3:uid="{B0FE7DB6-CAAA-4FDD-8086-2776D9C51556}" name="Real SSI" dataDxfId="44"/>
    <tableColumn id="11" xr3:uid="{EEFED0D5-7B22-4C46-9E72-103E3C541C3A}" name="%Ach. SSI" dataDxfId="43"/>
    <tableColumn id="12" xr3:uid="{6B1BF79D-E31D-44A3-839F-DC5C7DD58261}" name="pts SSI" dataDxfId="42"/>
    <tableColumn id="13" xr3:uid="{3993D27B-C52D-449B-BF03-591D081E2DA4}" name="NRC Implementation" dataDxfId="41"/>
    <tableColumn id="14" xr3:uid="{95CB89F5-6460-405A-8B0E-67C7277C53CC}" name="Status NRC" dataDxfId="40"/>
    <tableColumn id="15" xr3:uid="{9E271CA4-E4A3-4545-9596-46DABAFBE7A7}" name="%Ach. NRC" dataDxfId="39"/>
    <tableColumn id="16" xr3:uid="{FADA2BA3-FE60-4FC5-B599-5A4EDE54CB4F}" name="pts NRC" dataDxfId="38"/>
    <tableColumn id="17" xr3:uid="{03B79FB6-8833-4CED-A838-08D26E611DF4}" name="Trainin (Compliance %)" dataDxfId="37"/>
    <tableColumn id="18" xr3:uid="{E5B7A262-AF13-46E6-89AC-11C5E15B9596}" name="Real TR" dataDxfId="36"/>
    <tableColumn id="19" xr3:uid="{6A634BD3-5773-433A-B873-A1DE4CC01047}" name="%Ach. TR" dataDxfId="35"/>
    <tableColumn id="20" xr3:uid="{3A6814EC-35E1-4820-A1C8-82CEC9C9B11C}" name="pts TR" dataDxfId="34"/>
    <tableColumn id="21" xr3:uid="{94D01D4F-D216-413D-8DC8-C23CB064AA4D}" name="Service Campaing" dataDxfId="33"/>
    <tableColumn id="22" xr3:uid="{5890A605-4AD1-4F17-A27D-6A7446C8E4AF}" name="Real SC" dataDxfId="32"/>
    <tableColumn id="23" xr3:uid="{53AF0CBF-68C6-4D3F-BF10-56FDCE8B5DEF}" name="%Ach. SC" dataDxfId="31"/>
    <tableColumn id="24" xr3:uid="{049D4B94-9805-4540-B54D-DC9497B77E17}" name="pts SC" dataDxfId="30"/>
    <tableColumn id="25" xr3:uid="{AA0B5DFF-DA20-415E-B161-462B62C44B94}" name="Lead Management" dataDxfId="29"/>
    <tableColumn id="26" xr3:uid="{15CA27F0-38A1-47E1-80FD-CEBF8FA86016}" name="%Ach. Lead Mang." dataDxfId="28"/>
    <tableColumn id="27" xr3:uid="{2BE0732B-C69E-40D3-9A3B-CB481FC7162B}" name="pts Lead" dataDxfId="27"/>
    <tableColumn id="28" xr3:uid="{30B268C4-CEE7-4E90-9D96-DC547D1437AF}" name="Share of Investment" dataDxfId="26"/>
    <tableColumn id="29" xr3:uid="{FEC54628-20DD-4C24-BD22-78B82E87D276}" name="%Ach. SOI" dataDxfId="25"/>
    <tableColumn id="30" xr3:uid="{F473F17E-94AF-48FB-9D55-DD29228033E6}" name="pts SOI" dataDxfId="24"/>
    <tableColumn id="31" xr3:uid="{36A474CE-7CF7-459C-82F0-46E876087894}" name="360 Game Plan" dataDxfId="23"/>
    <tableColumn id="32" xr3:uid="{F37FB2DF-7670-4D37-8DE9-DF360C544AD4}" name="% Ach. 360" dataDxfId="22"/>
    <tableColumn id="33" xr3:uid="{32FC01D5-291F-4315-A1D7-B2B7A988991D}" name="pts 360" dataDxfId="21"/>
    <tableColumn id="34" xr3:uid="{64E69C93-E3E2-4AC5-8EF8-6B83094894B7}" name="Sell In (USD)" dataDxfId="20"/>
    <tableColumn id="35" xr3:uid="{B2481BB5-0B32-4E80-82C3-67E60683AAAC}" name="Real Sell In" dataDxfId="19"/>
    <tableColumn id="36" xr3:uid="{4B920E53-3E6E-439B-937A-53AAEE3F2D22}" name="%Ach. Sell In" dataDxfId="18"/>
    <tableColumn id="37" xr3:uid="{54624D0A-4F08-4272-A967-1BC14EA32A7D}" name="pts Sell In" dataDxfId="17"/>
    <tableColumn id="38" xr3:uid="{9698265B-014C-492F-AA67-DE7D9352A941}" name="Retention" dataDxfId="16"/>
    <tableColumn id="39" xr3:uid="{DC7CCF04-D7FB-4265-AB9B-69946978348A}" name="Real Retention" dataDxfId="15"/>
    <tableColumn id="40" xr3:uid="{F275606E-C1BD-481F-B2AF-2766031527E4}" name="%Ach. Retention" dataDxfId="14"/>
    <tableColumn id="41" xr3:uid="{668351B1-8930-4A49-ABB7-6981F22600E3}" name="pts Retention" dataDxfId="13"/>
    <tableColumn id="42" xr3:uid="{B291C182-0B30-4BBA-B8D7-E8D749E8DBD3}" name="Retail Sales" dataDxfId="12"/>
    <tableColumn id="43" xr3:uid="{8B7409F2-13DF-4566-8C17-4D8D83D5D2FC}" name="Real RS" dataDxfId="11"/>
    <tableColumn id="44" xr3:uid="{55372AB6-A150-4E7C-9782-B0B7ADAAC970}" name="%Ach. RS" dataDxfId="10"/>
    <tableColumn id="45" xr3:uid="{257106C8-FDA4-4CE1-9B21-38602E330B72}" name="pts RS" dataDxfId="9"/>
    <tableColumn id="50" xr3:uid="{FBFAE9F0-E634-4B59-BA72-9D9D684D55E1}" name="TR Sales" dataDxfId="8"/>
    <tableColumn id="51" xr3:uid="{6629D44D-E224-4D55-AA85-27F62D91F4D4}" name="Real TR Sales" dataDxfId="7"/>
    <tableColumn id="52" xr3:uid="{38F6B631-F0C5-4873-B8C9-6EA77CA6E2EA}" name="%Ach. TR Sales" dataDxfId="6"/>
    <tableColumn id="53" xr3:uid="{9FECF4FE-B2CD-467C-93E1-5D10860F2CD0}" name="pts TR Sales" dataDxfId="5"/>
    <tableColumn id="54" xr3:uid="{93829ED8-402F-4596-A5F1-8EFEBE7BEFB9}" name="TR AS" dataDxfId="4"/>
    <tableColumn id="55" xr3:uid="{54C6FEF9-B281-4950-8E46-C564802F7938}" name="Real TR AS" dataDxfId="3"/>
    <tableColumn id="56" xr3:uid="{C47C3EF0-7C8E-4A29-8F66-2CB4769891F2}" name="%Ach. TR AS" dataDxfId="2"/>
    <tableColumn id="57" xr3:uid="{ACD32228-9EF1-4D64-8008-1646DE1B4913}" name="pts TR AS" dataDxfId="1"/>
    <tableColumn id="58" xr3:uid="{BDD848A1-642B-425A-A89C-96C27E388DB2}" name="Total"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A008-A5E3-4248-98DE-77B8D6767B1D}">
  <sheetPr codeName="Hoja1"/>
  <dimension ref="B1:X79"/>
  <sheetViews>
    <sheetView showGridLines="0" zoomScale="91" zoomScaleNormal="78" workbookViewId="0">
      <selection activeCell="B59" sqref="B59"/>
    </sheetView>
  </sheetViews>
  <sheetFormatPr baseColWidth="10" defaultColWidth="8.85546875" defaultRowHeight="15"/>
  <cols>
    <col min="1" max="1" width="1.85546875" customWidth="1"/>
    <col min="2" max="2" width="12.42578125" customWidth="1"/>
    <col min="5" max="5" width="9.5703125" customWidth="1"/>
    <col min="8" max="8" width="20.140625" bestFit="1" customWidth="1"/>
    <col min="9" max="9" width="10.5703125" customWidth="1"/>
    <col min="10" max="10" width="8.85546875" customWidth="1"/>
    <col min="17" max="17" width="8.5703125" customWidth="1"/>
    <col min="22" max="22" width="12.140625" customWidth="1"/>
    <col min="23" max="23" width="13.140625" bestFit="1" customWidth="1"/>
    <col min="24" max="24" width="14" customWidth="1"/>
  </cols>
  <sheetData>
    <row r="1" spans="2:24" ht="10.7" customHeight="1"/>
    <row r="2" spans="2:24" ht="10.7" customHeight="1"/>
    <row r="3" spans="2:24" ht="34.5">
      <c r="B3" s="172" t="s">
        <v>0</v>
      </c>
    </row>
    <row r="7" spans="2:24" ht="15.75" thickBot="1">
      <c r="C7" s="50"/>
      <c r="D7" s="50"/>
      <c r="E7" s="45"/>
      <c r="F7" s="3"/>
    </row>
    <row r="8" spans="2:24">
      <c r="C8" s="44" t="s">
        <v>1</v>
      </c>
      <c r="D8" s="44" t="s">
        <v>2</v>
      </c>
      <c r="E8" s="44" t="s">
        <v>3</v>
      </c>
      <c r="F8" s="44" t="s">
        <v>4</v>
      </c>
      <c r="H8" s="44" t="s">
        <v>1</v>
      </c>
      <c r="I8" s="44" t="s">
        <v>2</v>
      </c>
      <c r="J8" s="44" t="s">
        <v>3</v>
      </c>
      <c r="K8" s="44" t="s">
        <v>4</v>
      </c>
      <c r="M8" s="44" t="s">
        <v>1</v>
      </c>
      <c r="N8" s="44" t="s">
        <v>2</v>
      </c>
      <c r="O8" s="44" t="s">
        <v>3</v>
      </c>
      <c r="P8" s="44" t="s">
        <v>4</v>
      </c>
      <c r="V8" s="289" t="s">
        <v>5</v>
      </c>
      <c r="W8" s="290"/>
      <c r="X8" s="291"/>
    </row>
    <row r="9" spans="2:24">
      <c r="B9" s="44" t="s">
        <v>6</v>
      </c>
      <c r="C9" s="3">
        <f>VLOOKUP(B3,Data!$C$3:$BE$22,Data!D2,FALSE)</f>
        <v>0.86</v>
      </c>
      <c r="D9" s="3">
        <f>VLOOKUP(B3,Data!$C$3:$BE$22,Data!E2,FALSE)</f>
        <v>0.88700000000000001</v>
      </c>
      <c r="E9" s="3">
        <f>VLOOKUP(B3,Data!$C$3:$BE$22,Data!F2,FALSE)</f>
        <v>1.0313953488372094</v>
      </c>
      <c r="F9" s="3">
        <f>IF(E9&gt;=100%,0%,100%-E9)</f>
        <v>0</v>
      </c>
      <c r="G9" s="51" t="s">
        <v>7</v>
      </c>
      <c r="H9" s="3">
        <f>VLOOKUP($B$3,Data!$C$3:$BE$22,Data!H2,FALSE)</f>
        <v>0.9</v>
      </c>
      <c r="I9" s="3">
        <f>VLOOKUP($B$3,Data!$C$3:$BE$22,Data!I2,FALSE)</f>
        <v>0.97</v>
      </c>
      <c r="J9" s="3">
        <f>VLOOKUP($B$3,Data!$C$3:$BE$22,Data!J2,FALSE)</f>
        <v>1.0777777777777777</v>
      </c>
      <c r="K9" s="3">
        <f>IF(J9&gt;=100%,0%,100%-J9)</f>
        <v>0</v>
      </c>
      <c r="L9" s="44" t="s">
        <v>8</v>
      </c>
      <c r="M9" s="3">
        <v>0.52</v>
      </c>
      <c r="N9" s="3">
        <f>VLOOKUP($B$3,Data!$C$3:$BE$22,Data!U2,FALSE)</f>
        <v>0.73817034700315454</v>
      </c>
      <c r="O9" s="3">
        <f>VLOOKUP($B$3,Data!$C$3:$BE$22,Data!V2,FALSE)</f>
        <v>1.1184399197017492</v>
      </c>
      <c r="P9" s="3">
        <f>IF(O9&gt;=100%,0%,100%-O9)</f>
        <v>0</v>
      </c>
      <c r="V9" s="292"/>
      <c r="W9" s="293"/>
      <c r="X9" s="294"/>
    </row>
    <row r="10" spans="2:24">
      <c r="L10" t="s">
        <v>9</v>
      </c>
      <c r="M10" s="3">
        <f>VLOOKUP($B$3,Data!$C$3:$BE$22,Data!AW2,FALSE)</f>
        <v>0.9</v>
      </c>
      <c r="N10" s="3">
        <f>VLOOKUP($B$3,Data!$C$3:$BE$22,Data!AX2,FALSE)</f>
        <v>0.95964432284541723</v>
      </c>
      <c r="O10" s="3">
        <f>VLOOKUP($B$3,Data!$C$3:$BE$22,Data!AY2,FALSE)</f>
        <v>1.0662714698282414</v>
      </c>
      <c r="P10" s="3">
        <f t="shared" ref="P10:P11" si="0">IF(O10&gt;=100%,0%,100%-O10)</f>
        <v>0</v>
      </c>
      <c r="Q10" s="3">
        <f>VLOOKUP($B$3,Data!$C$3:$BE$22,Data!AZ2,FALSE)</f>
        <v>0.47982216142270862</v>
      </c>
      <c r="V10" s="295" t="s">
        <v>1</v>
      </c>
      <c r="W10" s="296"/>
      <c r="X10" s="121" t="s">
        <v>10</v>
      </c>
    </row>
    <row r="11" spans="2:24">
      <c r="L11" t="s">
        <v>11</v>
      </c>
      <c r="M11" s="3">
        <f>VLOOKUP($B$3,Data!$C$3:$BE$22,Data!BA2,FALSE)</f>
        <v>0.9</v>
      </c>
      <c r="N11" s="3">
        <f>VLOOKUP($B$3,Data!$C$3:$BE$22,Data!BB2,FALSE)</f>
        <v>1</v>
      </c>
      <c r="O11" s="3">
        <f>VLOOKUP($B$3,Data!$C$3:$BE$22,Data!BC2,FALSE)</f>
        <v>1.1111111111111112</v>
      </c>
      <c r="P11" s="3">
        <f t="shared" si="0"/>
        <v>0</v>
      </c>
      <c r="Q11" s="3">
        <f>VLOOKUP($B$3,Data!$C$3:$BE$22,Data!BD2,FALSE)</f>
        <v>0.5</v>
      </c>
      <c r="V11" s="297" t="str">
        <f>VLOOKUP(B3,Data!C3:BE22,Data!L2,FALSE)</f>
        <v>NRC Plan FY25-FY26, signed in Q1 FY25</v>
      </c>
      <c r="W11" s="298"/>
      <c r="X11" s="301" t="str">
        <f>VLOOKUP(B3,Data!C3:BE22,Data!M2,FALSE)</f>
        <v>Signed</v>
      </c>
    </row>
    <row r="12" spans="2:24" ht="15.75" thickBot="1">
      <c r="V12" s="299"/>
      <c r="W12" s="300"/>
      <c r="X12" s="302"/>
    </row>
    <row r="13" spans="2:24">
      <c r="M13" t="s">
        <v>12</v>
      </c>
      <c r="N13" t="s">
        <v>13</v>
      </c>
      <c r="O13" t="s">
        <v>1</v>
      </c>
      <c r="P13" t="s">
        <v>14</v>
      </c>
      <c r="Q13" t="s">
        <v>3</v>
      </c>
      <c r="R13" t="s">
        <v>4</v>
      </c>
    </row>
    <row r="14" spans="2:24">
      <c r="L14" t="s">
        <v>15</v>
      </c>
      <c r="M14" s="46">
        <f>N10</f>
        <v>0.95964432284541723</v>
      </c>
      <c r="N14" s="46">
        <f>N11</f>
        <v>1</v>
      </c>
      <c r="O14" s="50">
        <v>0.9</v>
      </c>
      <c r="P14" s="46">
        <f>Q10+Q11</f>
        <v>0.97982216142270862</v>
      </c>
      <c r="Q14" s="45">
        <f>P14/O14</f>
        <v>1.0886912904696762</v>
      </c>
      <c r="R14" s="3">
        <f>IF(Q14&gt;=100%,0%,100%-Q14)</f>
        <v>0</v>
      </c>
    </row>
    <row r="15" spans="2:24" ht="15.75" thickBot="1">
      <c r="L15" t="s">
        <v>1</v>
      </c>
      <c r="M15" s="50">
        <v>0.9</v>
      </c>
      <c r="N15" s="50">
        <v>0.9</v>
      </c>
    </row>
    <row r="16" spans="2:24">
      <c r="V16" s="115" t="s">
        <v>16</v>
      </c>
      <c r="W16" s="116" t="s">
        <v>17</v>
      </c>
      <c r="X16" s="117" t="s">
        <v>18</v>
      </c>
    </row>
    <row r="17" spans="2:24" ht="15.75" thickBot="1">
      <c r="V17" s="118"/>
      <c r="W17" s="119"/>
      <c r="X17" s="120"/>
    </row>
    <row r="23" spans="2:24" ht="15.75" thickBot="1"/>
    <row r="24" spans="2:24" ht="18.75">
      <c r="B24" s="74"/>
      <c r="C24" s="303" t="s">
        <v>19</v>
      </c>
      <c r="D24" s="304"/>
      <c r="E24" s="304"/>
      <c r="F24" s="304"/>
      <c r="G24" s="304"/>
      <c r="H24" s="305"/>
      <c r="I24" s="74"/>
      <c r="J24" s="289" t="s">
        <v>20</v>
      </c>
      <c r="K24" s="290"/>
      <c r="L24" s="290"/>
      <c r="M24" s="290"/>
      <c r="N24" s="290"/>
      <c r="O24" s="291"/>
      <c r="P24" s="74"/>
      <c r="Q24" s="289" t="s">
        <v>21</v>
      </c>
      <c r="R24" s="290"/>
      <c r="S24" s="290"/>
      <c r="T24" s="290"/>
      <c r="U24" s="290"/>
      <c r="V24" s="290"/>
      <c r="W24" s="291"/>
    </row>
    <row r="25" spans="2:24" ht="16.7" customHeight="1">
      <c r="B25" s="74"/>
      <c r="C25" s="261" t="s">
        <v>1</v>
      </c>
      <c r="D25" s="262"/>
      <c r="E25" s="262"/>
      <c r="F25" s="262"/>
      <c r="G25" s="262" t="s">
        <v>2</v>
      </c>
      <c r="H25" s="263"/>
      <c r="I25" s="74"/>
      <c r="J25" s="261" t="s">
        <v>1</v>
      </c>
      <c r="K25" s="262"/>
      <c r="L25" s="262"/>
      <c r="M25" s="262"/>
      <c r="N25" s="262" t="s">
        <v>2</v>
      </c>
      <c r="O25" s="263"/>
      <c r="P25" s="74"/>
      <c r="Q25" s="264" t="s">
        <v>1</v>
      </c>
      <c r="R25" s="265"/>
      <c r="S25" s="265"/>
      <c r="T25" s="265"/>
      <c r="U25" s="266"/>
      <c r="V25" s="267" t="s">
        <v>2</v>
      </c>
      <c r="W25" s="268"/>
      <c r="X25" s="74"/>
    </row>
    <row r="26" spans="2:24">
      <c r="B26" s="74"/>
      <c r="C26" s="269" t="str">
        <f>VLOOKUP(B3,Data!C3:BE22,Data!X2,FALSE)</f>
        <v>Montly Report</v>
      </c>
      <c r="D26" s="270"/>
      <c r="E26" s="270"/>
      <c r="F26" s="270"/>
      <c r="G26" s="273">
        <v>1</v>
      </c>
      <c r="H26" s="274"/>
      <c r="I26" s="74"/>
      <c r="J26" s="277" t="s">
        <v>22</v>
      </c>
      <c r="K26" s="278"/>
      <c r="L26" s="278"/>
      <c r="M26" s="278"/>
      <c r="N26" s="281" t="s">
        <v>23</v>
      </c>
      <c r="O26" s="282"/>
      <c r="P26" s="74"/>
      <c r="Q26" s="285" t="s">
        <v>24</v>
      </c>
      <c r="R26" s="286"/>
      <c r="S26" s="286"/>
      <c r="T26" s="286"/>
      <c r="U26" s="286"/>
      <c r="V26" s="257" t="s">
        <v>23</v>
      </c>
      <c r="W26" s="258"/>
      <c r="X26" s="74"/>
    </row>
    <row r="27" spans="2:24" ht="15.75" thickBot="1">
      <c r="B27" s="74"/>
      <c r="C27" s="269"/>
      <c r="D27" s="270"/>
      <c r="E27" s="270"/>
      <c r="F27" s="270"/>
      <c r="G27" s="273"/>
      <c r="H27" s="274"/>
      <c r="I27" s="74"/>
      <c r="J27" s="279"/>
      <c r="K27" s="280"/>
      <c r="L27" s="280"/>
      <c r="M27" s="280"/>
      <c r="N27" s="283"/>
      <c r="O27" s="284"/>
      <c r="P27" s="74"/>
      <c r="Q27" s="285"/>
      <c r="R27" s="286"/>
      <c r="S27" s="286"/>
      <c r="T27" s="286"/>
      <c r="U27" s="286"/>
      <c r="V27" s="257"/>
      <c r="W27" s="258"/>
      <c r="X27" s="74"/>
    </row>
    <row r="28" spans="2:24">
      <c r="B28" s="74"/>
      <c r="C28" s="269"/>
      <c r="D28" s="270"/>
      <c r="E28" s="270"/>
      <c r="F28" s="270"/>
      <c r="G28" s="273"/>
      <c r="H28" s="274"/>
      <c r="I28" s="74"/>
      <c r="J28" s="74"/>
      <c r="K28" s="74"/>
      <c r="L28" s="74"/>
      <c r="M28" s="74"/>
      <c r="N28" s="74"/>
      <c r="O28" s="74"/>
      <c r="P28" s="74"/>
      <c r="Q28" s="285"/>
      <c r="R28" s="286"/>
      <c r="S28" s="286"/>
      <c r="T28" s="286"/>
      <c r="U28" s="286"/>
      <c r="V28" s="257"/>
      <c r="W28" s="258"/>
      <c r="X28" s="74"/>
    </row>
    <row r="29" spans="2:24" ht="15.75" thickBot="1">
      <c r="B29" s="74"/>
      <c r="C29" s="271"/>
      <c r="D29" s="272"/>
      <c r="E29" s="272"/>
      <c r="F29" s="272"/>
      <c r="G29" s="275"/>
      <c r="H29" s="276"/>
      <c r="I29" s="74"/>
      <c r="J29" s="74"/>
      <c r="K29" s="74"/>
      <c r="L29" s="74"/>
      <c r="M29" s="74"/>
      <c r="N29" s="74"/>
      <c r="O29" s="74"/>
      <c r="P29" s="74"/>
      <c r="Q29" s="287"/>
      <c r="R29" s="288"/>
      <c r="S29" s="288"/>
      <c r="T29" s="288"/>
      <c r="U29" s="288"/>
      <c r="V29" s="259"/>
      <c r="W29" s="260"/>
      <c r="X29" s="74"/>
    </row>
    <row r="34" spans="3:24">
      <c r="C34" s="183"/>
      <c r="D34" s="183" t="s">
        <v>1</v>
      </c>
      <c r="E34" s="183" t="s">
        <v>2</v>
      </c>
      <c r="F34" s="183" t="s">
        <v>3</v>
      </c>
      <c r="G34" s="183" t="s">
        <v>4</v>
      </c>
      <c r="H34" s="183"/>
      <c r="I34" s="183"/>
      <c r="J34" s="183"/>
      <c r="K34" s="183" t="s">
        <v>1</v>
      </c>
      <c r="L34" s="183" t="s">
        <v>2</v>
      </c>
      <c r="M34" s="183" t="s">
        <v>3</v>
      </c>
      <c r="N34" s="183" t="s">
        <v>4</v>
      </c>
      <c r="O34" s="183"/>
      <c r="P34" s="183"/>
      <c r="Q34" s="183" t="s">
        <v>1</v>
      </c>
      <c r="R34" s="183" t="s">
        <v>2</v>
      </c>
      <c r="S34" s="183" t="s">
        <v>3</v>
      </c>
      <c r="T34" s="183" t="s">
        <v>4</v>
      </c>
      <c r="U34" s="183"/>
      <c r="V34" s="190">
        <v>0.9151999999999999</v>
      </c>
      <c r="W34" s="190">
        <f>IF(V34&gt;=100%,0%,100%-V34)</f>
        <v>8.4800000000000098E-2</v>
      </c>
      <c r="X34" s="183"/>
    </row>
    <row r="35" spans="3:24">
      <c r="C35" s="183" t="s">
        <v>25</v>
      </c>
      <c r="D35" s="191">
        <v>1710206</v>
      </c>
      <c r="E35" s="191">
        <v>1426757</v>
      </c>
      <c r="F35" s="192">
        <f>E35/D35</f>
        <v>0.83426031717816451</v>
      </c>
      <c r="G35" s="189">
        <f>IF(F35&gt;=100%,0%,100%-F35)</f>
        <v>0.16573968282183549</v>
      </c>
      <c r="H35" s="183"/>
      <c r="I35" s="183"/>
      <c r="J35" s="183" t="s">
        <v>26</v>
      </c>
      <c r="K35" s="193">
        <f>VLOOKUP($B$3,Data!$C$3:$BE$22,Data!AK2,FALSE)</f>
        <v>0.77</v>
      </c>
      <c r="L35" s="193">
        <f>VLOOKUP($B$3,Data!$C$3:$BE$22,Data!AL2,FALSE)</f>
        <v>0.76</v>
      </c>
      <c r="M35" s="189">
        <f>VLOOKUP($B$3,Data!$C$3:$BE$22,Data!AM2,FALSE)</f>
        <v>0.98701298701298701</v>
      </c>
      <c r="N35" s="189">
        <f>IF(M35&gt;=100%,0%,100%-M35)</f>
        <v>1.2987012987012991E-2</v>
      </c>
      <c r="O35" s="183"/>
      <c r="P35" s="183" t="s">
        <v>27</v>
      </c>
      <c r="Q35" s="194">
        <v>906</v>
      </c>
      <c r="R35" s="194">
        <f>VLOOKUP($B$3,Data!$C$3:$BE$22,Data!AP2,FALSE)</f>
        <v>1146</v>
      </c>
      <c r="S35" s="195">
        <f>R35/Q35</f>
        <v>1.2649006622516556</v>
      </c>
      <c r="T35" s="189">
        <f>IF(S35&gt;=100%,0%,100%-S35)</f>
        <v>0</v>
      </c>
      <c r="U35" s="183"/>
      <c r="V35" s="183"/>
      <c r="W35" s="183"/>
      <c r="X35" s="183"/>
    </row>
    <row r="36" spans="3:24">
      <c r="C36" s="183"/>
      <c r="D36" s="183"/>
      <c r="E36" s="183"/>
      <c r="F36" s="183"/>
      <c r="G36" s="183"/>
      <c r="H36" s="183"/>
      <c r="I36" s="183"/>
      <c r="J36" s="183"/>
      <c r="K36" s="183"/>
      <c r="L36" s="183"/>
      <c r="M36" s="183"/>
      <c r="N36" s="183"/>
      <c r="O36" s="183"/>
      <c r="P36" s="183"/>
      <c r="Q36" s="183"/>
      <c r="R36" s="183"/>
      <c r="S36" s="183"/>
      <c r="T36" s="183"/>
      <c r="U36" s="183"/>
      <c r="V36" s="183"/>
      <c r="W36" s="183"/>
      <c r="X36" s="183"/>
    </row>
    <row r="56" spans="5:9">
      <c r="F56" t="s">
        <v>2</v>
      </c>
      <c r="G56" t="s">
        <v>1</v>
      </c>
    </row>
    <row r="57" spans="5:9">
      <c r="E57" t="s">
        <v>28</v>
      </c>
      <c r="F57" s="102">
        <v>0.29708222811671087</v>
      </c>
      <c r="G57" s="89">
        <v>0.5262599469496021</v>
      </c>
      <c r="H57" s="46">
        <f>F57/G57</f>
        <v>0.56451612903225812</v>
      </c>
      <c r="I57" s="50">
        <f>100%-H57</f>
        <v>0.43548387096774188</v>
      </c>
    </row>
    <row r="58" spans="5:9">
      <c r="E58" t="s">
        <v>29</v>
      </c>
      <c r="F58" s="102">
        <v>7.5187969924812026E-3</v>
      </c>
      <c r="G58" s="89">
        <v>0.58533834586466171</v>
      </c>
      <c r="H58" s="46">
        <f>F58/G58</f>
        <v>1.2845215157353884E-2</v>
      </c>
      <c r="I58" s="50">
        <f>100%-H58</f>
        <v>0.98715478484264607</v>
      </c>
    </row>
    <row r="78" spans="4:4">
      <c r="D78" t="s">
        <v>30</v>
      </c>
    </row>
    <row r="79" spans="4:4">
      <c r="D79" t="s">
        <v>31</v>
      </c>
    </row>
  </sheetData>
  <mergeCells count="19">
    <mergeCell ref="V8:X9"/>
    <mergeCell ref="V10:W10"/>
    <mergeCell ref="V11:W12"/>
    <mergeCell ref="X11:X12"/>
    <mergeCell ref="C24:H24"/>
    <mergeCell ref="J24:O24"/>
    <mergeCell ref="Q24:W24"/>
    <mergeCell ref="V26:W29"/>
    <mergeCell ref="C25:F25"/>
    <mergeCell ref="G25:H25"/>
    <mergeCell ref="J25:M25"/>
    <mergeCell ref="N25:O25"/>
    <mergeCell ref="Q25:U25"/>
    <mergeCell ref="V25:W25"/>
    <mergeCell ref="C26:F29"/>
    <mergeCell ref="G26:H29"/>
    <mergeCell ref="J26:M27"/>
    <mergeCell ref="N26:O27"/>
    <mergeCell ref="Q26:U2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CEA26B2-33A2-4DCB-90F8-F7FCF7877366}">
          <x14:formula1>
            <xm:f>Data!$C$4:$C$22</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7A176-F782-4785-918D-672BC0916BAF}">
  <sheetPr codeName="Hoja2"/>
  <dimension ref="B1:BG22"/>
  <sheetViews>
    <sheetView tabSelected="1" zoomScaleNormal="100" workbookViewId="0">
      <pane xSplit="3" ySplit="3" topLeftCell="D4" activePane="bottomRight" state="frozen"/>
      <selection pane="topRight" activeCell="D1" sqref="D1"/>
      <selection pane="bottomLeft" activeCell="A4" sqref="A4"/>
      <selection pane="bottomRight" activeCell="BF7" sqref="BF7"/>
    </sheetView>
  </sheetViews>
  <sheetFormatPr baseColWidth="10" defaultColWidth="8.85546875" defaultRowHeight="15"/>
  <cols>
    <col min="1" max="1" width="2.140625" customWidth="1"/>
    <col min="2" max="2" width="16.5703125" customWidth="1"/>
    <col min="3" max="3" width="14" customWidth="1"/>
    <col min="6" max="7" width="10.42578125" customWidth="1"/>
    <col min="10" max="11" width="11.85546875" customWidth="1"/>
    <col min="12" max="12" width="22.140625" customWidth="1"/>
    <col min="13" max="15" width="17.140625" customWidth="1"/>
    <col min="16" max="16" width="22.42578125" customWidth="1"/>
    <col min="17" max="19" width="12.5703125" customWidth="1"/>
    <col min="20" max="20" width="16.140625" customWidth="1"/>
    <col min="21" max="23" width="15.42578125" customWidth="1"/>
    <col min="24" max="24" width="27.85546875" customWidth="1"/>
    <col min="25" max="29" width="19" customWidth="1"/>
    <col min="30" max="30" width="15.42578125" customWidth="1"/>
    <col min="31" max="31" width="14.85546875" customWidth="1"/>
    <col min="32" max="32" width="15.85546875" customWidth="1"/>
    <col min="33" max="37" width="13.140625" customWidth="1"/>
    <col min="38" max="38" width="14.140625" customWidth="1"/>
    <col min="39" max="39" width="16.42578125" customWidth="1"/>
    <col min="40" max="40" width="13.140625" customWidth="1"/>
    <col min="41" max="44" width="13.42578125" customWidth="1"/>
    <col min="45" max="46" width="10.5703125" customWidth="1"/>
    <col min="47" max="48" width="14" customWidth="1"/>
    <col min="49" max="49" width="9.140625" bestFit="1" customWidth="1"/>
    <col min="50" max="50" width="11.5703125" bestFit="1" customWidth="1"/>
    <col min="51" max="51" width="14" customWidth="1"/>
    <col min="52" max="52" width="13.42578125" customWidth="1"/>
    <col min="53" max="53" width="10.42578125" customWidth="1"/>
    <col min="54" max="54" width="11.5703125" bestFit="1" customWidth="1"/>
    <col min="55" max="55" width="12.5703125" customWidth="1"/>
    <col min="56" max="56" width="11" customWidth="1"/>
    <col min="57" max="57" width="18.42578125" customWidth="1"/>
    <col min="59" max="59" width="12.140625" bestFit="1" customWidth="1"/>
  </cols>
  <sheetData>
    <row r="1" spans="2:59">
      <c r="F1" s="46"/>
    </row>
    <row r="2" spans="2:59" s="74" customFormat="1">
      <c r="C2" s="74">
        <v>1</v>
      </c>
      <c r="D2" s="74">
        <v>2</v>
      </c>
      <c r="E2" s="74">
        <v>3</v>
      </c>
      <c r="F2" s="74">
        <v>4</v>
      </c>
      <c r="G2" s="74">
        <v>5</v>
      </c>
      <c r="H2" s="74">
        <v>6</v>
      </c>
      <c r="I2" s="74">
        <v>7</v>
      </c>
      <c r="J2" s="74">
        <v>8</v>
      </c>
      <c r="K2" s="74">
        <v>9</v>
      </c>
      <c r="L2" s="74">
        <v>10</v>
      </c>
      <c r="M2" s="74">
        <v>11</v>
      </c>
      <c r="N2" s="74">
        <v>12</v>
      </c>
      <c r="O2" s="74">
        <v>13</v>
      </c>
      <c r="P2" s="74">
        <v>14</v>
      </c>
      <c r="Q2" s="74">
        <v>15</v>
      </c>
      <c r="R2" s="74">
        <v>16</v>
      </c>
      <c r="S2" s="74">
        <v>17</v>
      </c>
      <c r="T2" s="74">
        <v>18</v>
      </c>
      <c r="U2" s="74">
        <v>19</v>
      </c>
      <c r="V2" s="74">
        <v>20</v>
      </c>
      <c r="W2" s="74">
        <v>21</v>
      </c>
      <c r="X2" s="74">
        <v>22</v>
      </c>
      <c r="Y2" s="74">
        <v>23</v>
      </c>
      <c r="Z2" s="74">
        <v>24</v>
      </c>
      <c r="AA2" s="74">
        <v>25</v>
      </c>
      <c r="AB2" s="74">
        <v>26</v>
      </c>
      <c r="AC2" s="74">
        <v>27</v>
      </c>
      <c r="AD2" s="74">
        <v>28</v>
      </c>
      <c r="AE2" s="74">
        <v>29</v>
      </c>
      <c r="AF2" s="74">
        <v>30</v>
      </c>
      <c r="AG2" s="74">
        <v>31</v>
      </c>
      <c r="AH2" s="74">
        <v>32</v>
      </c>
      <c r="AI2" s="74">
        <v>33</v>
      </c>
      <c r="AJ2" s="74">
        <v>34</v>
      </c>
      <c r="AK2" s="74">
        <v>35</v>
      </c>
      <c r="AL2" s="74">
        <v>36</v>
      </c>
      <c r="AM2" s="74">
        <v>37</v>
      </c>
      <c r="AN2" s="74">
        <v>38</v>
      </c>
      <c r="AO2" s="74">
        <v>39</v>
      </c>
      <c r="AP2" s="74">
        <v>40</v>
      </c>
      <c r="AQ2" s="74">
        <v>41</v>
      </c>
      <c r="AR2" s="74">
        <v>42</v>
      </c>
      <c r="AS2" s="74">
        <v>43</v>
      </c>
      <c r="AT2" s="74">
        <v>44</v>
      </c>
      <c r="AU2" s="74">
        <v>45</v>
      </c>
      <c r="AV2" s="74">
        <v>46</v>
      </c>
      <c r="AW2" s="74">
        <v>47</v>
      </c>
      <c r="AX2" s="74">
        <v>48</v>
      </c>
      <c r="AY2" s="74">
        <v>49</v>
      </c>
      <c r="AZ2" s="74">
        <v>50</v>
      </c>
      <c r="BA2" s="74">
        <v>51</v>
      </c>
      <c r="BB2" s="74">
        <v>52</v>
      </c>
      <c r="BC2" s="74">
        <v>53</v>
      </c>
      <c r="BD2" s="74">
        <v>54</v>
      </c>
      <c r="BE2" s="74">
        <v>55</v>
      </c>
    </row>
    <row r="3" spans="2:59">
      <c r="B3" s="163" t="s">
        <v>32</v>
      </c>
      <c r="C3" s="163" t="s">
        <v>33</v>
      </c>
      <c r="D3" s="163" t="s">
        <v>6</v>
      </c>
      <c r="E3" s="163" t="s">
        <v>34</v>
      </c>
      <c r="F3" s="184" t="s">
        <v>35</v>
      </c>
      <c r="G3" s="185" t="s">
        <v>36</v>
      </c>
      <c r="H3" s="163" t="s">
        <v>7</v>
      </c>
      <c r="I3" s="163" t="s">
        <v>37</v>
      </c>
      <c r="J3" s="184" t="s">
        <v>38</v>
      </c>
      <c r="K3" s="185" t="s">
        <v>39</v>
      </c>
      <c r="L3" s="163" t="s">
        <v>40</v>
      </c>
      <c r="M3" s="163" t="s">
        <v>41</v>
      </c>
      <c r="N3" s="184" t="s">
        <v>42</v>
      </c>
      <c r="O3" s="185" t="s">
        <v>43</v>
      </c>
      <c r="P3" s="163" t="s">
        <v>44</v>
      </c>
      <c r="Q3" s="163" t="s">
        <v>45</v>
      </c>
      <c r="R3" s="184" t="s">
        <v>46</v>
      </c>
      <c r="S3" s="185" t="s">
        <v>47</v>
      </c>
      <c r="T3" s="163" t="s">
        <v>48</v>
      </c>
      <c r="U3" s="163" t="s">
        <v>49</v>
      </c>
      <c r="V3" s="184" t="s">
        <v>50</v>
      </c>
      <c r="W3" s="185" t="s">
        <v>51</v>
      </c>
      <c r="X3" s="163" t="s">
        <v>52</v>
      </c>
      <c r="Y3" s="184" t="s">
        <v>53</v>
      </c>
      <c r="Z3" s="185" t="s">
        <v>54</v>
      </c>
      <c r="AA3" s="163" t="s">
        <v>55</v>
      </c>
      <c r="AB3" s="184" t="s">
        <v>56</v>
      </c>
      <c r="AC3" s="185" t="s">
        <v>57</v>
      </c>
      <c r="AD3" s="163" t="s">
        <v>21</v>
      </c>
      <c r="AE3" s="184" t="s">
        <v>58</v>
      </c>
      <c r="AF3" s="185" t="s">
        <v>59</v>
      </c>
      <c r="AG3" s="163" t="s">
        <v>60</v>
      </c>
      <c r="AH3" s="163" t="s">
        <v>61</v>
      </c>
      <c r="AI3" s="184" t="s">
        <v>62</v>
      </c>
      <c r="AJ3" s="185" t="s">
        <v>63</v>
      </c>
      <c r="AK3" s="163" t="s">
        <v>26</v>
      </c>
      <c r="AL3" s="163" t="s">
        <v>64</v>
      </c>
      <c r="AM3" s="184" t="s">
        <v>65</v>
      </c>
      <c r="AN3" s="185" t="s">
        <v>66</v>
      </c>
      <c r="AO3" s="163" t="s">
        <v>67</v>
      </c>
      <c r="AP3" s="163" t="s">
        <v>68</v>
      </c>
      <c r="AQ3" s="184" t="s">
        <v>69</v>
      </c>
      <c r="AR3" s="185" t="s">
        <v>70</v>
      </c>
      <c r="AS3" s="163" t="s">
        <v>71</v>
      </c>
      <c r="AT3" s="163" t="s">
        <v>72</v>
      </c>
      <c r="AU3" s="163" t="s">
        <v>73</v>
      </c>
      <c r="AV3" s="163" t="s">
        <v>74</v>
      </c>
      <c r="AW3" s="163" t="s">
        <v>9</v>
      </c>
      <c r="AX3" s="163" t="s">
        <v>75</v>
      </c>
      <c r="AY3" s="163" t="s">
        <v>76</v>
      </c>
      <c r="AZ3" s="163" t="s">
        <v>77</v>
      </c>
      <c r="BA3" s="163" t="s">
        <v>11</v>
      </c>
      <c r="BB3" s="163" t="s">
        <v>78</v>
      </c>
      <c r="BC3" s="163" t="s">
        <v>79</v>
      </c>
      <c r="BD3" s="163" t="s">
        <v>80</v>
      </c>
      <c r="BE3" s="163" t="s">
        <v>81</v>
      </c>
      <c r="BF3" s="163" t="s">
        <v>262</v>
      </c>
    </row>
    <row r="4" spans="2:59" ht="35.450000000000003" customHeight="1">
      <c r="B4" s="164" t="s">
        <v>82</v>
      </c>
      <c r="C4" s="169" t="s">
        <v>83</v>
      </c>
      <c r="D4" s="212">
        <v>0.78</v>
      </c>
      <c r="E4" s="150">
        <f>VLOOKUP(C4,WB!$C$78:$U$92,WB!$J$76,FALSE)</f>
        <v>0.79100000000000004</v>
      </c>
      <c r="F4" s="151">
        <f>E4/D4</f>
        <v>1.0141025641025641</v>
      </c>
      <c r="G4" s="138">
        <f>IF(F4&gt;=100%,6%,F4*6%/100%)</f>
        <v>0.06</v>
      </c>
      <c r="H4" s="212">
        <v>0.92</v>
      </c>
      <c r="I4" s="151">
        <f>VLOOKUP(C4,WB!$C$78:$U$92,WB!$K$76,FALSE)</f>
        <v>0.95799999999999996</v>
      </c>
      <c r="J4" s="151">
        <f>I4/H4</f>
        <v>1.0413043478260868</v>
      </c>
      <c r="K4" s="138">
        <f>IF(J4&gt;=100%,6%,J4*6%/100%)</f>
        <v>0.06</v>
      </c>
      <c r="L4" s="152" t="s">
        <v>84</v>
      </c>
      <c r="M4" s="148" t="s">
        <v>85</v>
      </c>
      <c r="N4" s="153">
        <v>0.1</v>
      </c>
      <c r="O4" s="150">
        <f>IF(N4&gt;=100%,5%,N4*5%/100%)</f>
        <v>5.000000000000001E-3</v>
      </c>
      <c r="P4" s="153">
        <v>0.9</v>
      </c>
      <c r="Q4" s="154">
        <f>AZ4+BD4</f>
        <v>0.857187139561707</v>
      </c>
      <c r="R4" s="154">
        <f>Q4/P4</f>
        <v>0.95243015506856332</v>
      </c>
      <c r="S4" s="138">
        <f>IF(R4&gt;=100%,4%,R4*4%/100%)</f>
        <v>3.8097206202742533E-2</v>
      </c>
      <c r="T4" s="155">
        <v>0.69</v>
      </c>
      <c r="U4" s="151">
        <f>VLOOKUP(C4,WB!$C$137:$AA$154,WB!$Q$136,FALSE)</f>
        <v>0.6284187647165369</v>
      </c>
      <c r="V4" s="154">
        <f>U4/T4</f>
        <v>0.91075183292251727</v>
      </c>
      <c r="W4" s="151">
        <f>IF(V4&gt;=100%,4%,V4*4%/100%)</f>
        <v>3.6430073316900694E-2</v>
      </c>
      <c r="X4" s="156" t="s">
        <v>261</v>
      </c>
      <c r="Y4" s="150">
        <f>VLOOKUP(C4,WB!$R$3:$AD$18,WB!$AD$2,FALSE)</f>
        <v>0.5</v>
      </c>
      <c r="Z4" s="151">
        <f>IF(Y4&gt;=100%,5%,Y4*5%/100%)</f>
        <v>2.5000000000000001E-2</v>
      </c>
      <c r="AA4" s="148" t="s">
        <v>87</v>
      </c>
      <c r="AB4" s="153">
        <v>0.5</v>
      </c>
      <c r="AC4" s="151">
        <f>IF(AB4&gt;=100%,3%,AB4*3%/100%)</f>
        <v>1.4999999999999999E-2</v>
      </c>
      <c r="AD4" s="148" t="s">
        <v>88</v>
      </c>
      <c r="AE4" s="153">
        <v>0.75</v>
      </c>
      <c r="AF4" s="151">
        <f>IF(AE4&gt;=100%,7%,AE4*7%/100%)</f>
        <v>5.2500000000000005E-2</v>
      </c>
      <c r="AG4" s="157">
        <v>22300000</v>
      </c>
      <c r="AH4" s="157">
        <f>VLOOKUP(C4,WB!$C$99:$U$132,WB!$J$98,FALSE)</f>
        <v>11072189</v>
      </c>
      <c r="AI4" s="151">
        <f>AH4/AG4</f>
        <v>0.49651071748878922</v>
      </c>
      <c r="AJ4" s="139">
        <f t="shared" ref="AJ4:AJ6" si="0">IF(AI4&gt;=100%,20%,AI4*20%/100%)</f>
        <v>9.9302143497757844E-2</v>
      </c>
      <c r="AK4" s="159">
        <v>1</v>
      </c>
      <c r="AL4" s="160">
        <f>VLOOKUP(C4,WB!$C$99:$U$132,WB!$K$98,FALSE)</f>
        <v>1.04</v>
      </c>
      <c r="AM4" s="151">
        <f>AL4/AK4</f>
        <v>1.04</v>
      </c>
      <c r="AN4" s="139">
        <f t="shared" ref="AN4:AN6" si="1">IF(AM4&gt;=100%,10%,AM4*10%/100%)</f>
        <v>0.1</v>
      </c>
      <c r="AO4" s="161">
        <v>13201</v>
      </c>
      <c r="AP4" s="161">
        <f>VLOOKUP(C4,WB!$B$3:$O$35,WB!$O$2,FALSE)</f>
        <v>7883</v>
      </c>
      <c r="AQ4" s="150">
        <f>AP4/AO4</f>
        <v>0.59715173092947504</v>
      </c>
      <c r="AR4" s="139">
        <f t="shared" ref="AR4:AR6" si="2">IF(AQ4&gt;=100%,30%,AQ4*30%/100%)</f>
        <v>0.17914551927884251</v>
      </c>
      <c r="AS4" s="149">
        <v>0.28999999999999998</v>
      </c>
      <c r="AT4" s="149">
        <v>0.41</v>
      </c>
      <c r="AU4" s="158"/>
      <c r="AV4" s="158"/>
      <c r="AW4" s="153">
        <v>0.9</v>
      </c>
      <c r="AX4" s="151">
        <f>VLOOKUP(C4,WB!$B$42:$U$71,WB!$I$40,FALSE)</f>
        <v>0.98448729184925499</v>
      </c>
      <c r="AY4" s="154">
        <f>AX4/AW4</f>
        <v>1.0938747687213943</v>
      </c>
      <c r="AZ4" s="154">
        <f>IF(AND(BC4&lt;100%,AY4&gt;=100%),45%,AY4*45%/100%)</f>
        <v>0.45</v>
      </c>
      <c r="BA4" s="153">
        <v>0.9</v>
      </c>
      <c r="BB4" s="151">
        <f>VLOOKUP(C4,WB!$B$42:$U$71,WB!$H$40,FALSE)</f>
        <v>0.81437427912341409</v>
      </c>
      <c r="BC4" s="154">
        <f>BB4/BA4</f>
        <v>0.90486031013712676</v>
      </c>
      <c r="BD4" s="162">
        <f>IF(AND(AY4&lt;100%,BC4&gt;=100%),45%,BC4*45%/100%)</f>
        <v>0.40718713956170705</v>
      </c>
      <c r="BE4" s="154">
        <f>AR4+AN4+AJ4+W4+S4+K4+G4+AF4+AC4+Z4+O4</f>
        <v>0.6704749422962436</v>
      </c>
      <c r="BF4" s="154">
        <v>0.3</v>
      </c>
    </row>
    <row r="5" spans="2:59" ht="36" customHeight="1">
      <c r="B5" s="165" t="s">
        <v>82</v>
      </c>
      <c r="C5" s="170" t="s">
        <v>89</v>
      </c>
      <c r="D5" s="145">
        <v>0.82</v>
      </c>
      <c r="E5" s="150">
        <f>VLOOKUP(C5,WB!$C$78:$U$92,WB!$J$76,FALSE)</f>
        <v>0.84799999999999998</v>
      </c>
      <c r="F5" s="139">
        <f t="shared" ref="F5:F17" si="3">E5/D5</f>
        <v>1.0341463414634147</v>
      </c>
      <c r="G5" s="138">
        <f>IF(F5&gt;=100%,6%,F5*6%/100%)</f>
        <v>0.06</v>
      </c>
      <c r="H5" s="145">
        <v>0.91</v>
      </c>
      <c r="I5" s="151">
        <f>VLOOKUP(C5,WB!$C$78:$U$92,WB!$K$76,FALSE)</f>
        <v>0.91800000000000004</v>
      </c>
      <c r="J5" s="139">
        <f t="shared" ref="J5:J17" si="4">I5/H5</f>
        <v>1.0087912087912088</v>
      </c>
      <c r="K5" s="138">
        <f>IF(J5&gt;=100%,6%,J5*6%/100%)</f>
        <v>0.06</v>
      </c>
      <c r="L5" s="140" t="s">
        <v>84</v>
      </c>
      <c r="M5" s="80" t="s">
        <v>90</v>
      </c>
      <c r="N5" s="81">
        <v>0</v>
      </c>
      <c r="O5" s="138">
        <f t="shared" ref="O5:O18" si="5">IF(N5&gt;=100%,5%,N5*5%/100%)</f>
        <v>0</v>
      </c>
      <c r="P5" s="81">
        <v>0.9</v>
      </c>
      <c r="Q5" s="141">
        <f t="shared" ref="Q5:Q22" si="6">AZ5+BD5</f>
        <v>0.83333333333333326</v>
      </c>
      <c r="R5" s="141">
        <f t="shared" ref="R5:R22" si="7">Q5/P5</f>
        <v>0.92592592592592582</v>
      </c>
      <c r="S5" s="138">
        <f>IF(R5&gt;=100%,4%,R5*4%/100%)</f>
        <v>3.7037037037037035E-2</v>
      </c>
      <c r="T5" s="142">
        <v>0.5</v>
      </c>
      <c r="U5" s="151">
        <f>VLOOKUP(C5,WB!$C$137:$AA$154,WB!$Q$136,FALSE)</f>
        <v>0.46404995539696697</v>
      </c>
      <c r="V5" s="141">
        <f t="shared" ref="V5:V22" si="8">U5/T5</f>
        <v>0.92809991079393395</v>
      </c>
      <c r="W5" s="139">
        <f t="shared" ref="W5:W6" si="9">IF(V5&gt;=100%,4%,V5*4%/100%)</f>
        <v>3.7123996431757358E-2</v>
      </c>
      <c r="X5" s="156" t="s">
        <v>261</v>
      </c>
      <c r="Y5" s="138">
        <f>VLOOKUP(C5,WB!$R$3:$AD$18,WB!$AD$2,FALSE)</f>
        <v>0.5</v>
      </c>
      <c r="Z5" s="139">
        <f t="shared" ref="Z5:Z18" si="10">IF(Y5&gt;=100%,5%,Y5*5%/100%)</f>
        <v>2.5000000000000001E-2</v>
      </c>
      <c r="AA5" s="80" t="s">
        <v>87</v>
      </c>
      <c r="AB5" s="81">
        <v>0.5</v>
      </c>
      <c r="AC5" s="139">
        <f t="shared" ref="AC5:AC13" si="11">IF(AB5&gt;=100%,3%,AB5*3%/100%)</f>
        <v>1.4999999999999999E-2</v>
      </c>
      <c r="AD5" s="148" t="s">
        <v>88</v>
      </c>
      <c r="AE5" s="153">
        <v>0.75</v>
      </c>
      <c r="AF5" s="139">
        <f t="shared" ref="AF5:AF13" si="12">IF(AE5&gt;=100%,7%,AE5*7%/100%)</f>
        <v>5.2500000000000005E-2</v>
      </c>
      <c r="AG5" s="10">
        <v>3200000</v>
      </c>
      <c r="AH5" s="157">
        <f>VLOOKUP(C5,WB!$C$99:$U$132,WB!$J$98,FALSE)</f>
        <v>1360596</v>
      </c>
      <c r="AI5" s="139">
        <f t="shared" ref="AI5:AI17" si="13">AH5/AG5</f>
        <v>0.42518624999999999</v>
      </c>
      <c r="AJ5" s="139">
        <f t="shared" si="0"/>
        <v>8.5037250000000009E-2</v>
      </c>
      <c r="AK5" s="143">
        <v>0.86</v>
      </c>
      <c r="AL5" s="160">
        <f>VLOOKUP(C5,WB!$C$99:$U$132,WB!$K$98,FALSE)</f>
        <v>0.86</v>
      </c>
      <c r="AM5" s="139">
        <f t="shared" ref="AM5:AM17" si="14">AL5/AK5</f>
        <v>1</v>
      </c>
      <c r="AN5" s="139">
        <f t="shared" si="1"/>
        <v>0.1</v>
      </c>
      <c r="AO5" s="43">
        <v>6363</v>
      </c>
      <c r="AP5" s="43">
        <f>VLOOKUP(C5,WB!$B$3:$O$35,WB!$O$2,FALSE)</f>
        <v>3818</v>
      </c>
      <c r="AQ5" s="138">
        <f t="shared" ref="AQ5:AQ19" si="15">AP5/AO5</f>
        <v>0.60003143171460005</v>
      </c>
      <c r="AR5" s="139">
        <f t="shared" si="2"/>
        <v>0.18000942951438001</v>
      </c>
      <c r="AS5" s="98">
        <v>0.23</v>
      </c>
      <c r="AT5" s="98">
        <v>0.35</v>
      </c>
      <c r="AU5" s="78"/>
      <c r="AV5" s="78"/>
      <c r="AW5" s="81">
        <v>0.9</v>
      </c>
      <c r="AX5" s="151">
        <f>VLOOKUP(C5,WB!$B$42:$U$71,WB!$I$40,FALSE)</f>
        <v>0.96511627906976749</v>
      </c>
      <c r="AY5" s="139">
        <f>AX5/AW5</f>
        <v>1.0723514211886305</v>
      </c>
      <c r="AZ5" s="141">
        <f t="shared" ref="AZ5:AZ22" si="16">IF(AND(BC5&lt;100%,AY5&gt;=100%),45%,AY5*45%/100%)</f>
        <v>0.45</v>
      </c>
      <c r="BA5" s="81">
        <v>0.9</v>
      </c>
      <c r="BB5" s="151">
        <f>VLOOKUP(C5,WB!$B$42:$U$71,WB!$H$40,FALSE)</f>
        <v>0.76666666666666661</v>
      </c>
      <c r="BC5" s="141">
        <f t="shared" ref="BC5:BC22" si="17">BB5/BA5</f>
        <v>0.85185185185185175</v>
      </c>
      <c r="BD5" s="144">
        <f t="shared" ref="BD5:BD22" si="18">IF(AND(AY5&lt;100%,BC5&gt;=100%),45%,BC5*45%/100%)</f>
        <v>0.3833333333333333</v>
      </c>
      <c r="BE5" s="141">
        <f t="shared" ref="BE5:BE6" si="19">AR5+AN5+AJ5+W5+S5+K5+G5+AF5+AC5+Z5+O5</f>
        <v>0.65170771298317443</v>
      </c>
      <c r="BF5" s="141"/>
      <c r="BG5" s="73"/>
    </row>
    <row r="6" spans="2:59" ht="40.35" customHeight="1">
      <c r="B6" s="165" t="s">
        <v>82</v>
      </c>
      <c r="C6" s="170" t="s">
        <v>91</v>
      </c>
      <c r="D6" s="145">
        <v>0.92</v>
      </c>
      <c r="E6" s="150">
        <f>VLOOKUP(C6,WB!$C$78:$U$92,WB!$J$76,FALSE)</f>
        <v>0.95299999999999996</v>
      </c>
      <c r="F6" s="139">
        <f t="shared" si="3"/>
        <v>1.0358695652173913</v>
      </c>
      <c r="G6" s="138">
        <f>IF(F6&gt;=100%,6%,F6*6%/100%)</f>
        <v>0.06</v>
      </c>
      <c r="H6" s="145">
        <v>0.92</v>
      </c>
      <c r="I6" s="151">
        <f>VLOOKUP(C6,WB!$C$78:$U$92,WB!$K$76,FALSE)</f>
        <v>0.93700000000000006</v>
      </c>
      <c r="J6" s="139">
        <f t="shared" si="4"/>
        <v>1.0184782608695653</v>
      </c>
      <c r="K6" s="138">
        <f>IF(J6&gt;=100%,6%,J6*6%/100%)</f>
        <v>0.06</v>
      </c>
      <c r="L6" s="140" t="s">
        <v>84</v>
      </c>
      <c r="M6" s="80" t="s">
        <v>85</v>
      </c>
      <c r="N6" s="81">
        <v>0.1</v>
      </c>
      <c r="O6" s="138">
        <f t="shared" si="5"/>
        <v>5.000000000000001E-3</v>
      </c>
      <c r="P6" s="81">
        <v>0.9</v>
      </c>
      <c r="Q6" s="141">
        <f t="shared" si="6"/>
        <v>0.99423830437684346</v>
      </c>
      <c r="R6" s="141">
        <f t="shared" si="7"/>
        <v>1.1047092270853816</v>
      </c>
      <c r="S6" s="138">
        <f>IF(R6&gt;=100%,4%,R6*4%/100%)</f>
        <v>0.04</v>
      </c>
      <c r="T6" s="142">
        <v>0.56000000000000005</v>
      </c>
      <c r="U6" s="151">
        <f>VLOOKUP(C6,WB!$C$137:$AA$154,WB!$Q$136,FALSE)</f>
        <v>0.5916310323762981</v>
      </c>
      <c r="V6" s="141">
        <f t="shared" si="8"/>
        <v>1.0564839863862465</v>
      </c>
      <c r="W6" s="139">
        <f t="shared" si="9"/>
        <v>0.04</v>
      </c>
      <c r="X6" s="156" t="s">
        <v>261</v>
      </c>
      <c r="Y6" s="138">
        <f>VLOOKUP(C6,WB!$R$3:$AD$18,WB!$AD$2,FALSE)</f>
        <v>0.5</v>
      </c>
      <c r="Z6" s="139">
        <f t="shared" si="10"/>
        <v>2.5000000000000001E-2</v>
      </c>
      <c r="AA6" s="80" t="s">
        <v>87</v>
      </c>
      <c r="AB6" s="81">
        <v>0.5</v>
      </c>
      <c r="AC6" s="139">
        <f t="shared" si="11"/>
        <v>1.4999999999999999E-2</v>
      </c>
      <c r="AD6" s="148" t="s">
        <v>88</v>
      </c>
      <c r="AE6" s="153">
        <v>0.75</v>
      </c>
      <c r="AF6" s="139">
        <f t="shared" si="12"/>
        <v>5.2500000000000005E-2</v>
      </c>
      <c r="AG6" s="10">
        <v>6300000</v>
      </c>
      <c r="AH6" s="157">
        <f>VLOOKUP(C6,WB!$C$99:$U$132,WB!$J$98,FALSE)</f>
        <v>4097809</v>
      </c>
      <c r="AI6" s="139">
        <f t="shared" si="13"/>
        <v>0.65044587301587298</v>
      </c>
      <c r="AJ6" s="139">
        <f t="shared" si="0"/>
        <v>0.1300891746031746</v>
      </c>
      <c r="AK6" s="143">
        <v>1.32</v>
      </c>
      <c r="AL6" s="160">
        <f>VLOOKUP(C6,WB!$C$99:$U$132,WB!$K$98,FALSE)</f>
        <v>1.33</v>
      </c>
      <c r="AM6" s="139">
        <f t="shared" si="14"/>
        <v>1.0075757575757576</v>
      </c>
      <c r="AN6" s="139">
        <f t="shared" si="1"/>
        <v>0.1</v>
      </c>
      <c r="AO6" s="43">
        <v>7091</v>
      </c>
      <c r="AP6" s="43">
        <f>VLOOKUP(C6,WB!$B$3:$O$35,WB!$O$2,FALSE)</f>
        <v>4033</v>
      </c>
      <c r="AQ6" s="138">
        <f t="shared" si="15"/>
        <v>0.5687491186010436</v>
      </c>
      <c r="AR6" s="139">
        <f t="shared" si="2"/>
        <v>0.17062473558031307</v>
      </c>
      <c r="AS6" s="98">
        <v>0.36</v>
      </c>
      <c r="AT6" s="98">
        <v>0.41</v>
      </c>
      <c r="AU6" s="78"/>
      <c r="AV6" s="78"/>
      <c r="AW6" s="81">
        <v>0.9</v>
      </c>
      <c r="AX6" s="151">
        <f>VLOOKUP(C6,WB!$B$42:$U$71,WB!$I$40,FALSE)</f>
        <v>0.98931623931623935</v>
      </c>
      <c r="AY6" s="141">
        <f t="shared" ref="AY6:AY22" si="20">AX6/AW6</f>
        <v>1.0992402659069327</v>
      </c>
      <c r="AZ6" s="141">
        <f t="shared" si="16"/>
        <v>0.49465811965811973</v>
      </c>
      <c r="BA6" s="81">
        <v>0.9</v>
      </c>
      <c r="BB6" s="151">
        <f>VLOOKUP(C6,WB!$B$42:$U$71,WB!$H$40,FALSE)</f>
        <v>0.99916036943744757</v>
      </c>
      <c r="BC6" s="141">
        <f t="shared" si="17"/>
        <v>1.1101781882638306</v>
      </c>
      <c r="BD6" s="144">
        <f t="shared" si="18"/>
        <v>0.49958018471872379</v>
      </c>
      <c r="BE6" s="141">
        <f t="shared" si="19"/>
        <v>0.69821391018348777</v>
      </c>
      <c r="BF6" s="141">
        <v>0.7</v>
      </c>
      <c r="BG6" s="4"/>
    </row>
    <row r="7" spans="2:59" ht="43.35" customHeight="1">
      <c r="B7" s="165" t="s">
        <v>82</v>
      </c>
      <c r="C7" s="170" t="s">
        <v>92</v>
      </c>
      <c r="D7" s="145">
        <v>0.85</v>
      </c>
      <c r="E7" s="150">
        <f>VLOOKUP(C7,WB!$C$78:$U$92,WB!$J$76,FALSE)</f>
        <v>0.871</v>
      </c>
      <c r="F7" s="139">
        <f t="shared" si="3"/>
        <v>1.0247058823529411</v>
      </c>
      <c r="G7" s="138">
        <f>IF(F7&gt;=100%,6%,F7*6%/100%)</f>
        <v>0.06</v>
      </c>
      <c r="H7" s="145">
        <v>0.94</v>
      </c>
      <c r="I7" s="151">
        <f>VLOOKUP(C7,WB!$C$78:$U$92,WB!$K$76,FALSE)</f>
        <v>0.96299999999999997</v>
      </c>
      <c r="J7" s="139">
        <f t="shared" si="4"/>
        <v>1.024468085106383</v>
      </c>
      <c r="K7" s="138">
        <f>IF(J7&gt;=100%,6%,J7*6%/100%)</f>
        <v>0.06</v>
      </c>
      <c r="L7" s="140" t="s">
        <v>93</v>
      </c>
      <c r="M7" s="80" t="s">
        <v>85</v>
      </c>
      <c r="N7" s="81">
        <v>0.1</v>
      </c>
      <c r="O7" s="138">
        <f t="shared" si="5"/>
        <v>5.000000000000001E-3</v>
      </c>
      <c r="P7" s="81">
        <v>0.9</v>
      </c>
      <c r="Q7" s="141">
        <f t="shared" si="6"/>
        <v>0.9343902789761287</v>
      </c>
      <c r="R7" s="141">
        <f t="shared" si="7"/>
        <v>1.0382114210845874</v>
      </c>
      <c r="S7" s="138">
        <f>IF(R7&gt;=100%,4%,R7*4%/100%)</f>
        <v>0.04</v>
      </c>
      <c r="T7" s="142">
        <v>0.55000000000000004</v>
      </c>
      <c r="U7" s="151">
        <f>VLOOKUP(C7,WB!$C$137:$AA$154,WB!$Q$136,FALSE)</f>
        <v>0.68019559902200488</v>
      </c>
      <c r="V7" s="141">
        <f t="shared" si="8"/>
        <v>1.2367192709490997</v>
      </c>
      <c r="W7" s="139">
        <f>IF(V7&gt;=100%,4%,V7*4%/100%)</f>
        <v>0.04</v>
      </c>
      <c r="X7" s="156" t="s">
        <v>261</v>
      </c>
      <c r="Y7" s="138">
        <f>VLOOKUP(C7,WB!$R$3:$AD$18,WB!$AD$2,FALSE)</f>
        <v>0.5</v>
      </c>
      <c r="Z7" s="139">
        <f t="shared" si="10"/>
        <v>2.5000000000000001E-2</v>
      </c>
      <c r="AA7" s="80" t="s">
        <v>87</v>
      </c>
      <c r="AB7" s="81">
        <v>0.5</v>
      </c>
      <c r="AC7" s="139">
        <f t="shared" si="11"/>
        <v>1.4999999999999999E-2</v>
      </c>
      <c r="AD7" s="148" t="s">
        <v>88</v>
      </c>
      <c r="AE7" s="153">
        <v>0.75</v>
      </c>
      <c r="AF7" s="139">
        <f t="shared" si="12"/>
        <v>5.2500000000000005E-2</v>
      </c>
      <c r="AG7" s="10">
        <v>4600000</v>
      </c>
      <c r="AH7" s="157">
        <f>VLOOKUP(C7,WB!$C$99:$U$132,WB!$J$98,FALSE)</f>
        <v>2441588</v>
      </c>
      <c r="AI7" s="139">
        <f t="shared" si="13"/>
        <v>0.53078000000000003</v>
      </c>
      <c r="AJ7" s="139">
        <f>IF(AI7&gt;=100%,20%,AI7*20%/100%)</f>
        <v>0.10615600000000001</v>
      </c>
      <c r="AK7" s="143">
        <v>1.04</v>
      </c>
      <c r="AL7" s="160">
        <f>VLOOKUP(C7,WB!$C$99:$U$132,WB!$K$98,FALSE)</f>
        <v>1.04</v>
      </c>
      <c r="AM7" s="139">
        <f t="shared" si="14"/>
        <v>1</v>
      </c>
      <c r="AN7" s="139">
        <f>IF(AM7&gt;=100%,10%,AM7*10%/100%)</f>
        <v>0.1</v>
      </c>
      <c r="AO7" s="43">
        <v>1750</v>
      </c>
      <c r="AP7" s="43">
        <f>VLOOKUP(C7,WB!$B$3:$O$35,WB!$O$2,FALSE)</f>
        <v>908</v>
      </c>
      <c r="AQ7" s="138">
        <f t="shared" si="15"/>
        <v>0.51885714285714291</v>
      </c>
      <c r="AR7" s="139">
        <f>IF(AQ7&gt;=100%,30%,AQ7*30%/100%)</f>
        <v>0.15565714285714286</v>
      </c>
      <c r="AS7" s="98">
        <v>0.36</v>
      </c>
      <c r="AT7" s="98">
        <v>0.4</v>
      </c>
      <c r="AU7" s="78"/>
      <c r="AV7" s="78"/>
      <c r="AW7" s="81">
        <v>0.9</v>
      </c>
      <c r="AX7" s="151">
        <f>VLOOKUP(C7,WB!$B$42:$U$71,WB!$I$40,FALSE)</f>
        <v>0.91666666666666663</v>
      </c>
      <c r="AY7" s="141">
        <f t="shared" si="20"/>
        <v>1.0185185185185184</v>
      </c>
      <c r="AZ7" s="141">
        <f t="shared" si="16"/>
        <v>0.45833333333333326</v>
      </c>
      <c r="BA7" s="81">
        <v>0.9</v>
      </c>
      <c r="BB7" s="151">
        <f>VLOOKUP(C7,WB!$B$42:$U$71,WB!$H$40,FALSE)</f>
        <v>0.95211389128559099</v>
      </c>
      <c r="BC7" s="141">
        <f t="shared" si="17"/>
        <v>1.0579043236506567</v>
      </c>
      <c r="BD7" s="144">
        <f t="shared" si="18"/>
        <v>0.47605694564279549</v>
      </c>
      <c r="BE7" s="141">
        <f>AR7+AN7+AJ7+W7+S7+K7+G7+AF7+AC7+Z7+O7</f>
        <v>0.65931314285714293</v>
      </c>
      <c r="BF7" s="141" t="s">
        <v>107</v>
      </c>
      <c r="BG7" s="4"/>
    </row>
    <row r="8" spans="2:59" ht="40.35" customHeight="1">
      <c r="B8" s="165" t="s">
        <v>82</v>
      </c>
      <c r="C8" s="170" t="s">
        <v>0</v>
      </c>
      <c r="D8" s="145">
        <v>0.86</v>
      </c>
      <c r="E8" s="150">
        <f>VLOOKUP(C8,WB!$C$78:$U$92,WB!$J$76,FALSE)</f>
        <v>0.88700000000000001</v>
      </c>
      <c r="F8" s="139">
        <f t="shared" si="3"/>
        <v>1.0313953488372094</v>
      </c>
      <c r="G8" s="138">
        <f t="shared" ref="G8:G12" si="21">IF(F8&gt;=100%,6%,F8*6%/100%)</f>
        <v>0.06</v>
      </c>
      <c r="H8" s="145">
        <v>0.9</v>
      </c>
      <c r="I8" s="151">
        <f>VLOOKUP(C8,WB!$C$78:$U$92,WB!$K$76,FALSE)</f>
        <v>0.97</v>
      </c>
      <c r="J8" s="139">
        <f t="shared" si="4"/>
        <v>1.0777777777777777</v>
      </c>
      <c r="K8" s="138">
        <f t="shared" ref="K8:K12" si="22">IF(J8&gt;=100%,6%,J8*6%/100%)</f>
        <v>0.06</v>
      </c>
      <c r="L8" s="140" t="s">
        <v>84</v>
      </c>
      <c r="M8" s="80" t="s">
        <v>85</v>
      </c>
      <c r="N8" s="81">
        <v>0.1</v>
      </c>
      <c r="O8" s="138">
        <f t="shared" si="5"/>
        <v>5.000000000000001E-3</v>
      </c>
      <c r="P8" s="81">
        <v>0.9</v>
      </c>
      <c r="Q8" s="141">
        <f t="shared" si="6"/>
        <v>0.97982216142270862</v>
      </c>
      <c r="R8" s="141">
        <f t="shared" si="7"/>
        <v>1.0886912904696762</v>
      </c>
      <c r="S8" s="138">
        <f t="shared" ref="S8:S12" si="23">IF(R8&gt;=100%,4%,R8*4%/100%)</f>
        <v>0.04</v>
      </c>
      <c r="T8" s="142">
        <v>0.66</v>
      </c>
      <c r="U8" s="151">
        <f>VLOOKUP(C8,WB!$C$137:$AA$154,WB!$Q$136,FALSE)</f>
        <v>0.73817034700315454</v>
      </c>
      <c r="V8" s="141">
        <f t="shared" si="8"/>
        <v>1.1184399197017492</v>
      </c>
      <c r="W8" s="139">
        <f t="shared" ref="W8:W15" si="24">IF(V8&gt;=100%,4%,V8*4%/100%)</f>
        <v>0.04</v>
      </c>
      <c r="X8" s="156" t="s">
        <v>261</v>
      </c>
      <c r="Y8" s="138">
        <f>VLOOKUP(C8,WB!$R$3:$AD$18,WB!$AD$2,FALSE)</f>
        <v>0.5</v>
      </c>
      <c r="Z8" s="139">
        <f t="shared" si="10"/>
        <v>2.5000000000000001E-2</v>
      </c>
      <c r="AA8" s="80" t="s">
        <v>87</v>
      </c>
      <c r="AB8" s="81">
        <v>0.5</v>
      </c>
      <c r="AC8" s="139">
        <f t="shared" si="11"/>
        <v>1.4999999999999999E-2</v>
      </c>
      <c r="AD8" s="148" t="s">
        <v>88</v>
      </c>
      <c r="AE8" s="153">
        <v>0.75</v>
      </c>
      <c r="AF8" s="139">
        <f t="shared" si="12"/>
        <v>5.2500000000000005E-2</v>
      </c>
      <c r="AG8" s="10">
        <v>5130381</v>
      </c>
      <c r="AH8" s="157">
        <f>VLOOKUP(C8,WB!$C$99:$U$132,WB!$J$98,FALSE)</f>
        <v>2215566</v>
      </c>
      <c r="AI8" s="139">
        <f t="shared" si="13"/>
        <v>0.4318521372974054</v>
      </c>
      <c r="AJ8" s="139">
        <f t="shared" ref="AJ8:AJ12" si="25">IF(AI8&gt;=100%,20%,AI8*20%/100%)</f>
        <v>8.6370427459481092E-2</v>
      </c>
      <c r="AK8" s="143">
        <v>0.77</v>
      </c>
      <c r="AL8" s="160">
        <f>VLOOKUP(C8,WB!$C$99:$U$132,WB!$K$98,FALSE)</f>
        <v>0.76</v>
      </c>
      <c r="AM8" s="139">
        <f t="shared" si="14"/>
        <v>0.98701298701298701</v>
      </c>
      <c r="AN8" s="139">
        <f t="shared" ref="AN8:AN12" si="26">IF(AM8&gt;=100%,10%,AM8*10%/100%)</f>
        <v>9.8701298701298706E-2</v>
      </c>
      <c r="AO8" s="43">
        <v>2600</v>
      </c>
      <c r="AP8" s="43">
        <f>VLOOKUP(C8,WB!$B$3:$O$35,WB!$O$2,FALSE)</f>
        <v>1146</v>
      </c>
      <c r="AQ8" s="138">
        <f t="shared" si="15"/>
        <v>0.44076923076923075</v>
      </c>
      <c r="AR8" s="139">
        <f t="shared" ref="AR8:AR12" si="27">IF(AQ8&gt;=100%,30%,AQ8*30%/100%)</f>
        <v>0.13223076923076921</v>
      </c>
      <c r="AS8" s="98">
        <v>0.36</v>
      </c>
      <c r="AT8" s="98">
        <v>0.41</v>
      </c>
      <c r="AU8" s="78"/>
      <c r="AV8" s="78"/>
      <c r="AW8" s="81">
        <v>0.9</v>
      </c>
      <c r="AX8" s="151">
        <f>VLOOKUP(C8,WB!$B$42:$U$71,WB!$I$40,FALSE)</f>
        <v>0.95964432284541723</v>
      </c>
      <c r="AY8" s="141">
        <f t="shared" si="20"/>
        <v>1.0662714698282414</v>
      </c>
      <c r="AZ8" s="141">
        <f t="shared" si="16"/>
        <v>0.47982216142270862</v>
      </c>
      <c r="BA8" s="81">
        <v>0.9</v>
      </c>
      <c r="BB8" s="151">
        <f>VLOOKUP(C8,WB!$B$42:$U$71,WB!$H$40,FALSE)</f>
        <v>1</v>
      </c>
      <c r="BC8" s="141">
        <f t="shared" si="17"/>
        <v>1.1111111111111112</v>
      </c>
      <c r="BD8" s="144">
        <f t="shared" si="18"/>
        <v>0.5</v>
      </c>
      <c r="BE8" s="141">
        <f t="shared" ref="BE8:BE17" si="28">AR8+AN8+AJ8+W8+S8+K8+G8+AF8+AC8+Z8+O8</f>
        <v>0.61480249539154896</v>
      </c>
      <c r="BF8" s="141">
        <v>0.8</v>
      </c>
      <c r="BG8" s="4"/>
    </row>
    <row r="9" spans="2:59" ht="41.45" customHeight="1">
      <c r="B9" s="165" t="s">
        <v>82</v>
      </c>
      <c r="C9" s="170" t="s">
        <v>94</v>
      </c>
      <c r="D9" s="145">
        <v>0.94</v>
      </c>
      <c r="E9" s="150">
        <f>VLOOKUP(C9,WB!$C$78:$U$92,WB!$J$76,FALSE)</f>
        <v>0.99199999999999999</v>
      </c>
      <c r="F9" s="139">
        <f t="shared" si="3"/>
        <v>1.0553191489361702</v>
      </c>
      <c r="G9" s="138">
        <f t="shared" si="21"/>
        <v>0.06</v>
      </c>
      <c r="H9" s="145">
        <v>0.95</v>
      </c>
      <c r="I9" s="151">
        <f>VLOOKUP(C9,WB!$C$78:$U$92,WB!$K$76,FALSE)</f>
        <v>0.98899999999999999</v>
      </c>
      <c r="J9" s="139">
        <f t="shared" si="4"/>
        <v>1.0410526315789475</v>
      </c>
      <c r="K9" s="138">
        <f t="shared" si="22"/>
        <v>0.06</v>
      </c>
      <c r="L9" s="140" t="s">
        <v>84</v>
      </c>
      <c r="M9" s="80" t="s">
        <v>85</v>
      </c>
      <c r="N9" s="81">
        <v>0.1</v>
      </c>
      <c r="O9" s="138">
        <f t="shared" si="5"/>
        <v>5.000000000000001E-3</v>
      </c>
      <c r="P9" s="81">
        <v>0.9</v>
      </c>
      <c r="Q9" s="141">
        <f t="shared" si="6"/>
        <v>0.89956487341772151</v>
      </c>
      <c r="R9" s="141">
        <f t="shared" si="7"/>
        <v>0.99951652601969054</v>
      </c>
      <c r="S9" s="138">
        <f t="shared" si="23"/>
        <v>3.9980661040787624E-2</v>
      </c>
      <c r="T9" s="142">
        <v>0.45</v>
      </c>
      <c r="U9" s="151">
        <f>VLOOKUP(C9,WB!$C$137:$AA$154,WB!$Q$136,FALSE)</f>
        <v>0.41526297696803027</v>
      </c>
      <c r="V9" s="141">
        <f t="shared" si="8"/>
        <v>0.92280661548451171</v>
      </c>
      <c r="W9" s="139">
        <f t="shared" si="24"/>
        <v>3.6912264619380471E-2</v>
      </c>
      <c r="X9" s="156" t="s">
        <v>261</v>
      </c>
      <c r="Y9" s="138">
        <f>VLOOKUP(C9,WB!$R$3:$AD$18,WB!$AD$2,FALSE)</f>
        <v>0.5</v>
      </c>
      <c r="Z9" s="139">
        <f t="shared" si="10"/>
        <v>2.5000000000000001E-2</v>
      </c>
      <c r="AA9" s="80" t="s">
        <v>87</v>
      </c>
      <c r="AB9" s="81">
        <v>0.5</v>
      </c>
      <c r="AC9" s="139">
        <f t="shared" si="11"/>
        <v>1.4999999999999999E-2</v>
      </c>
      <c r="AD9" s="148" t="s">
        <v>88</v>
      </c>
      <c r="AE9" s="153">
        <v>0.75</v>
      </c>
      <c r="AF9" s="139">
        <f t="shared" si="12"/>
        <v>5.2500000000000005E-2</v>
      </c>
      <c r="AG9" s="10">
        <v>2730000</v>
      </c>
      <c r="AH9" s="157">
        <f>VLOOKUP(C9,WB!$C$99:$U$132,WB!$J$98,FALSE)</f>
        <v>1638459</v>
      </c>
      <c r="AI9" s="139">
        <f t="shared" si="13"/>
        <v>0.60016813186813189</v>
      </c>
      <c r="AJ9" s="139">
        <f t="shared" si="25"/>
        <v>0.12003362637362638</v>
      </c>
      <c r="AK9" s="143">
        <v>0.85</v>
      </c>
      <c r="AL9" s="160">
        <f>VLOOKUP(C9,WB!$C$99:$U$132,WB!$K$98,FALSE)</f>
        <v>0.85</v>
      </c>
      <c r="AM9" s="139">
        <f t="shared" si="14"/>
        <v>1</v>
      </c>
      <c r="AN9" s="139">
        <f t="shared" si="26"/>
        <v>0.1</v>
      </c>
      <c r="AO9" s="43">
        <v>2200</v>
      </c>
      <c r="AP9" s="43">
        <f>VLOOKUP(C9,WB!$B$3:$O$35,WB!$O$2,FALSE)</f>
        <v>846</v>
      </c>
      <c r="AQ9" s="138">
        <f t="shared" si="15"/>
        <v>0.38454545454545452</v>
      </c>
      <c r="AR9" s="139">
        <f t="shared" si="27"/>
        <v>0.11536363636363635</v>
      </c>
      <c r="AS9" s="98">
        <v>0.3</v>
      </c>
      <c r="AT9" s="98">
        <v>0.36</v>
      </c>
      <c r="AU9" s="78"/>
      <c r="AV9" s="78"/>
      <c r="AW9" s="81">
        <v>0.9</v>
      </c>
      <c r="AX9" s="151">
        <f>VLOOKUP(C9,WB!$B$42:$U$71,WB!$I$40,FALSE)</f>
        <v>0.90604575163398693</v>
      </c>
      <c r="AY9" s="141">
        <f t="shared" si="20"/>
        <v>1.006717501815541</v>
      </c>
      <c r="AZ9" s="141">
        <f t="shared" si="16"/>
        <v>0.45</v>
      </c>
      <c r="BA9" s="81">
        <v>0.9</v>
      </c>
      <c r="BB9" s="151">
        <f>VLOOKUP(C9,WB!$B$42:$U$71,WB!$H$40,FALSE)</f>
        <v>0.899129746835443</v>
      </c>
      <c r="BC9" s="141">
        <f t="shared" si="17"/>
        <v>0.99903305203938109</v>
      </c>
      <c r="BD9" s="144">
        <f t="shared" si="18"/>
        <v>0.4495648734177215</v>
      </c>
      <c r="BE9" s="141">
        <f t="shared" si="28"/>
        <v>0.62979018839743095</v>
      </c>
      <c r="BF9" s="141">
        <v>0.4</v>
      </c>
      <c r="BG9" s="4"/>
    </row>
    <row r="10" spans="2:59" ht="40.35" customHeight="1">
      <c r="B10" s="166" t="s">
        <v>95</v>
      </c>
      <c r="C10" s="170" t="s">
        <v>96</v>
      </c>
      <c r="D10" s="145">
        <v>0.7</v>
      </c>
      <c r="E10" s="150">
        <f>VLOOKUP(C10,WB!$C$78:$U$92,WB!$J$76,FALSE)</f>
        <v>0.755</v>
      </c>
      <c r="F10" s="139">
        <f t="shared" si="3"/>
        <v>1.0785714285714287</v>
      </c>
      <c r="G10" s="138">
        <f t="shared" si="21"/>
        <v>0.06</v>
      </c>
      <c r="H10" s="145">
        <v>0.83</v>
      </c>
      <c r="I10" s="151">
        <f>VLOOKUP(C10,WB!$C$78:$U$92,WB!$K$76,FALSE)</f>
        <v>0.94899999999999995</v>
      </c>
      <c r="J10" s="139">
        <f t="shared" si="4"/>
        <v>1.1433734939759037</v>
      </c>
      <c r="K10" s="138">
        <f t="shared" si="22"/>
        <v>0.06</v>
      </c>
      <c r="L10" s="140" t="s">
        <v>84</v>
      </c>
      <c r="M10" s="80" t="s">
        <v>85</v>
      </c>
      <c r="N10" s="81">
        <v>0.1</v>
      </c>
      <c r="O10" s="138">
        <f t="shared" si="5"/>
        <v>5.000000000000001E-3</v>
      </c>
      <c r="P10" s="81">
        <v>0.9</v>
      </c>
      <c r="Q10" s="141">
        <f t="shared" si="6"/>
        <v>0.9611750154607297</v>
      </c>
      <c r="R10" s="141">
        <f t="shared" si="7"/>
        <v>1.0679722394008107</v>
      </c>
      <c r="S10" s="138">
        <f t="shared" si="23"/>
        <v>0.04</v>
      </c>
      <c r="T10" s="142">
        <v>0.67</v>
      </c>
      <c r="U10" s="151">
        <f>VLOOKUP(C10,WB!$C$137:$AA$154,WB!$Q$136,FALSE)</f>
        <v>0.54865424430641818</v>
      </c>
      <c r="V10" s="141">
        <f t="shared" si="8"/>
        <v>0.81888693180062411</v>
      </c>
      <c r="W10" s="139">
        <f t="shared" si="24"/>
        <v>3.2755477272024963E-2</v>
      </c>
      <c r="X10" s="156" t="s">
        <v>261</v>
      </c>
      <c r="Y10" s="138">
        <f>VLOOKUP(C10,WB!$R$3:$AD$18,WB!$AD$2,FALSE)</f>
        <v>0.5</v>
      </c>
      <c r="Z10" s="139">
        <f t="shared" si="10"/>
        <v>2.5000000000000001E-2</v>
      </c>
      <c r="AA10" s="80" t="s">
        <v>87</v>
      </c>
      <c r="AB10" s="81">
        <v>0.5</v>
      </c>
      <c r="AC10" s="139">
        <f t="shared" si="11"/>
        <v>1.4999999999999999E-2</v>
      </c>
      <c r="AD10" s="148" t="s">
        <v>88</v>
      </c>
      <c r="AE10" s="153">
        <v>0.75</v>
      </c>
      <c r="AF10" s="139">
        <f t="shared" si="12"/>
        <v>5.2500000000000005E-2</v>
      </c>
      <c r="AG10" s="10">
        <v>2582000</v>
      </c>
      <c r="AH10" s="157">
        <f>VLOOKUP(C10,WB!$C$99:$U$132,WB!$J$98,FALSE)</f>
        <v>1482874</v>
      </c>
      <c r="AI10" s="139">
        <f t="shared" si="13"/>
        <v>0.57431216111541439</v>
      </c>
      <c r="AJ10" s="139">
        <f t="shared" si="25"/>
        <v>0.11486243222308289</v>
      </c>
      <c r="AK10" s="143">
        <v>1.02</v>
      </c>
      <c r="AL10" s="160">
        <f>VLOOKUP(C10,WB!$C$99:$U$132,WB!$K$98,FALSE)</f>
        <v>0.94</v>
      </c>
      <c r="AM10" s="139">
        <f t="shared" si="14"/>
        <v>0.92156862745098034</v>
      </c>
      <c r="AN10" s="139">
        <f t="shared" si="26"/>
        <v>9.2156862745098045E-2</v>
      </c>
      <c r="AO10" s="43">
        <v>2436</v>
      </c>
      <c r="AP10" s="43">
        <f>VLOOKUP(C10,WB!$B$3:$O$35,WB!$O$2,FALSE)</f>
        <v>1158</v>
      </c>
      <c r="AQ10" s="138">
        <f t="shared" si="15"/>
        <v>0.47536945812807879</v>
      </c>
      <c r="AR10" s="139">
        <f t="shared" si="27"/>
        <v>0.14261083743842362</v>
      </c>
      <c r="AS10" s="98">
        <v>0.25</v>
      </c>
      <c r="AT10" s="98">
        <v>0.36</v>
      </c>
      <c r="AU10" s="78"/>
      <c r="AV10" s="78"/>
      <c r="AW10" s="81">
        <v>0.9</v>
      </c>
      <c r="AX10" s="151">
        <f>VLOOKUP(C10,WB!$B$42:$U$71,WB!$I$40,FALSE)</f>
        <v>0.96969696969696972</v>
      </c>
      <c r="AY10" s="141">
        <f t="shared" si="20"/>
        <v>1.0774410774410774</v>
      </c>
      <c r="AZ10" s="141">
        <f t="shared" si="16"/>
        <v>0.48484848484848486</v>
      </c>
      <c r="BA10" s="81">
        <v>0.9</v>
      </c>
      <c r="BB10" s="151">
        <f>VLOOKUP(C10,WB!$B$42:$U$71,WB!$H$40,FALSE)</f>
        <v>0.95265306122448978</v>
      </c>
      <c r="BC10" s="141">
        <f t="shared" si="17"/>
        <v>1.0585034013605441</v>
      </c>
      <c r="BD10" s="144">
        <f t="shared" si="18"/>
        <v>0.47632653061224484</v>
      </c>
      <c r="BE10" s="141">
        <f t="shared" si="28"/>
        <v>0.63988560967862951</v>
      </c>
      <c r="BF10" s="141">
        <v>0.2</v>
      </c>
      <c r="BG10" s="4"/>
    </row>
    <row r="11" spans="2:59" ht="41.45" customHeight="1">
      <c r="B11" s="166" t="s">
        <v>95</v>
      </c>
      <c r="C11" s="170" t="s">
        <v>97</v>
      </c>
      <c r="D11" s="145">
        <v>0.7</v>
      </c>
      <c r="E11" s="150">
        <f>VLOOKUP(C11,WB!$C$78:$U$92,WB!$J$76,FALSE)</f>
        <v>0.66300000000000003</v>
      </c>
      <c r="F11" s="139">
        <f t="shared" si="3"/>
        <v>0.94714285714285729</v>
      </c>
      <c r="G11" s="138">
        <f t="shared" si="21"/>
        <v>5.6828571428571437E-2</v>
      </c>
      <c r="H11" s="145">
        <v>0.83</v>
      </c>
      <c r="I11" s="151">
        <f>VLOOKUP(C11,WB!$C$78:$U$92,WB!$K$76,FALSE)</f>
        <v>0.99099999999999999</v>
      </c>
      <c r="J11" s="139">
        <f t="shared" si="4"/>
        <v>1.1939759036144579</v>
      </c>
      <c r="K11" s="138">
        <f t="shared" si="22"/>
        <v>0.06</v>
      </c>
      <c r="L11" s="140" t="s">
        <v>84</v>
      </c>
      <c r="M11" s="80" t="s">
        <v>85</v>
      </c>
      <c r="N11" s="81">
        <v>0.1</v>
      </c>
      <c r="O11" s="138">
        <f t="shared" si="5"/>
        <v>5.000000000000001E-3</v>
      </c>
      <c r="P11" s="81">
        <v>0.9</v>
      </c>
      <c r="Q11" s="141">
        <f t="shared" si="6"/>
        <v>0.98637602179836514</v>
      </c>
      <c r="R11" s="141">
        <f t="shared" si="7"/>
        <v>1.0959733575537389</v>
      </c>
      <c r="S11" s="138">
        <f t="shared" si="23"/>
        <v>0.04</v>
      </c>
      <c r="T11" s="142">
        <v>0.62</v>
      </c>
      <c r="U11" s="151">
        <f>VLOOKUP(C11,WB!$C$137:$AA$154,WB!$Q$136,FALSE)</f>
        <v>0.47816593886462883</v>
      </c>
      <c r="V11" s="141">
        <f t="shared" si="8"/>
        <v>0.77123538526553037</v>
      </c>
      <c r="W11" s="139">
        <f t="shared" si="24"/>
        <v>3.0849415410621216E-2</v>
      </c>
      <c r="X11" s="156" t="s">
        <v>261</v>
      </c>
      <c r="Y11" s="138">
        <f>VLOOKUP(C11,WB!$R$3:$AD$18,WB!$AD$2,FALSE)</f>
        <v>0.5</v>
      </c>
      <c r="Z11" s="139">
        <f t="shared" si="10"/>
        <v>2.5000000000000001E-2</v>
      </c>
      <c r="AA11" s="80" t="s">
        <v>87</v>
      </c>
      <c r="AB11" s="81">
        <v>0.5</v>
      </c>
      <c r="AC11" s="139">
        <f t="shared" si="11"/>
        <v>1.4999999999999999E-2</v>
      </c>
      <c r="AD11" s="148" t="s">
        <v>88</v>
      </c>
      <c r="AE11" s="153">
        <v>0.75</v>
      </c>
      <c r="AF11" s="139">
        <f t="shared" si="12"/>
        <v>5.2500000000000005E-2</v>
      </c>
      <c r="AG11" s="10">
        <v>2642000</v>
      </c>
      <c r="AH11" s="157">
        <f>VLOOKUP(C11,WB!$C$99:$U$132,WB!$J$98,FALSE)</f>
        <v>1604426</v>
      </c>
      <c r="AI11" s="139">
        <f t="shared" si="13"/>
        <v>0.60727706283118854</v>
      </c>
      <c r="AJ11" s="139">
        <f t="shared" si="25"/>
        <v>0.12145541256623771</v>
      </c>
      <c r="AK11" s="143">
        <v>1.17</v>
      </c>
      <c r="AL11" s="160">
        <f>VLOOKUP(C11,WB!$C$99:$U$132,WB!$K$98,FALSE)</f>
        <v>1.19</v>
      </c>
      <c r="AM11" s="139">
        <f t="shared" si="14"/>
        <v>1.017094017094017</v>
      </c>
      <c r="AN11" s="139">
        <f t="shared" si="26"/>
        <v>0.1</v>
      </c>
      <c r="AO11" s="43">
        <v>2620</v>
      </c>
      <c r="AP11" s="43">
        <f>VLOOKUP(C11,WB!$B$3:$O$35,WB!$O$2,FALSE)</f>
        <v>1425</v>
      </c>
      <c r="AQ11" s="138">
        <f t="shared" si="15"/>
        <v>0.54389312977099236</v>
      </c>
      <c r="AR11" s="139">
        <f t="shared" si="27"/>
        <v>0.16316793893129769</v>
      </c>
      <c r="AS11" s="98">
        <v>0.25</v>
      </c>
      <c r="AT11" s="98">
        <v>0.36</v>
      </c>
      <c r="AU11" s="78"/>
      <c r="AV11" s="78"/>
      <c r="AW11" s="81">
        <v>0.9</v>
      </c>
      <c r="AX11" s="151">
        <f>VLOOKUP(C11,WB!$B$42:$U$71,WB!$I$40,FALSE)</f>
        <v>1</v>
      </c>
      <c r="AY11" s="141">
        <f t="shared" si="20"/>
        <v>1.1111111111111112</v>
      </c>
      <c r="AZ11" s="141">
        <f t="shared" si="16"/>
        <v>0.5</v>
      </c>
      <c r="BA11" s="81">
        <v>0.9</v>
      </c>
      <c r="BB11" s="151">
        <f>VLOOKUP(C11,WB!$B$42:$U$71,WB!$H$40,FALSE)</f>
        <v>0.97275204359673029</v>
      </c>
      <c r="BC11" s="141">
        <f t="shared" si="17"/>
        <v>1.0808356039963669</v>
      </c>
      <c r="BD11" s="144">
        <f t="shared" si="18"/>
        <v>0.48637602179836514</v>
      </c>
      <c r="BE11" s="141">
        <f t="shared" si="28"/>
        <v>0.66980133833672806</v>
      </c>
      <c r="BF11" s="141">
        <v>0.2</v>
      </c>
      <c r="BG11" s="4"/>
    </row>
    <row r="12" spans="2:59" ht="42.6" customHeight="1">
      <c r="B12" s="166" t="s">
        <v>95</v>
      </c>
      <c r="C12" s="170" t="s">
        <v>98</v>
      </c>
      <c r="D12" s="145">
        <v>0.7</v>
      </c>
      <c r="E12" s="150">
        <f>VLOOKUP(C12,WB!$C$78:$U$92,WB!$J$76,FALSE)</f>
        <v>0.56699999999999995</v>
      </c>
      <c r="F12" s="139">
        <f t="shared" si="3"/>
        <v>0.80999999999999994</v>
      </c>
      <c r="G12" s="138">
        <f t="shared" si="21"/>
        <v>4.8599999999999997E-2</v>
      </c>
      <c r="H12" s="145">
        <v>0.83</v>
      </c>
      <c r="I12" s="151">
        <f>VLOOKUP(C12,WB!$C$78:$U$92,WB!$K$76,FALSE)</f>
        <v>0.90300000000000002</v>
      </c>
      <c r="J12" s="139">
        <f t="shared" si="4"/>
        <v>1.0879518072289158</v>
      </c>
      <c r="K12" s="138">
        <f t="shared" si="22"/>
        <v>0.06</v>
      </c>
      <c r="L12" s="140" t="s">
        <v>84</v>
      </c>
      <c r="M12" s="80" t="s">
        <v>85</v>
      </c>
      <c r="N12" s="81">
        <v>0.1</v>
      </c>
      <c r="O12" s="138">
        <f t="shared" si="5"/>
        <v>5.000000000000001E-3</v>
      </c>
      <c r="P12" s="81">
        <v>0.9</v>
      </c>
      <c r="Q12" s="141">
        <f t="shared" si="6"/>
        <v>0.86049671977507036</v>
      </c>
      <c r="R12" s="141">
        <f t="shared" si="7"/>
        <v>0.95610746641674482</v>
      </c>
      <c r="S12" s="138">
        <f t="shared" si="23"/>
        <v>3.8244298656669791E-2</v>
      </c>
      <c r="T12" s="142">
        <v>0.75</v>
      </c>
      <c r="U12" s="151">
        <f>VLOOKUP(C12,WB!$C$137:$AA$154,WB!$Q$136,FALSE)</f>
        <v>0.54455445544554459</v>
      </c>
      <c r="V12" s="141">
        <f t="shared" si="8"/>
        <v>0.72607260726072609</v>
      </c>
      <c r="W12" s="139">
        <f t="shared" si="24"/>
        <v>2.9042904290429043E-2</v>
      </c>
      <c r="X12" s="156" t="s">
        <v>261</v>
      </c>
      <c r="Y12" s="138">
        <f>VLOOKUP(C12,WB!$R$3:$AD$18,WB!$AD$2,FALSE)</f>
        <v>0.5</v>
      </c>
      <c r="Z12" s="139">
        <f t="shared" si="10"/>
        <v>2.5000000000000001E-2</v>
      </c>
      <c r="AA12" s="80" t="s">
        <v>87</v>
      </c>
      <c r="AB12" s="81">
        <v>0.5</v>
      </c>
      <c r="AC12" s="139">
        <f t="shared" si="11"/>
        <v>1.4999999999999999E-2</v>
      </c>
      <c r="AD12" s="148" t="s">
        <v>88</v>
      </c>
      <c r="AE12" s="153">
        <v>0.75</v>
      </c>
      <c r="AF12" s="139">
        <f>IF(AE12&gt;=100%,7%,AE12*7%/100%)</f>
        <v>5.2500000000000005E-2</v>
      </c>
      <c r="AG12" s="10">
        <v>1142000</v>
      </c>
      <c r="AH12" s="157">
        <f>VLOOKUP(C12,WB!$C$99:$U$132,WB!$J$98,FALSE)</f>
        <v>579421</v>
      </c>
      <c r="AI12" s="139">
        <f t="shared" si="13"/>
        <v>0.50737390542907179</v>
      </c>
      <c r="AJ12" s="139">
        <f t="shared" si="25"/>
        <v>0.10147478108581437</v>
      </c>
      <c r="AK12" s="143">
        <v>0.9</v>
      </c>
      <c r="AL12" s="160">
        <f>VLOOKUP(C12,WB!$C$99:$U$132,WB!$K$98,FALSE)</f>
        <v>1.08</v>
      </c>
      <c r="AM12" s="139">
        <f t="shared" si="14"/>
        <v>1.2</v>
      </c>
      <c r="AN12" s="139">
        <f t="shared" si="26"/>
        <v>0.1</v>
      </c>
      <c r="AO12" s="43">
        <v>1326</v>
      </c>
      <c r="AP12" s="43">
        <f>VLOOKUP(C12,WB!$B$3:$O$35,WB!$O$2,FALSE)</f>
        <v>661</v>
      </c>
      <c r="AQ12" s="138">
        <f t="shared" si="15"/>
        <v>0.49849170437405732</v>
      </c>
      <c r="AR12" s="139">
        <f t="shared" si="27"/>
        <v>0.14954751131221719</v>
      </c>
      <c r="AS12" s="98">
        <v>0.25</v>
      </c>
      <c r="AT12" s="98">
        <v>0.36</v>
      </c>
      <c r="AU12" s="78"/>
      <c r="AV12" s="78"/>
      <c r="AW12" s="81">
        <v>0.9</v>
      </c>
      <c r="AX12" s="151">
        <f>VLOOKUP(C12,WB!$B$42:$U$71,WB!$I$40,FALSE)</f>
        <v>1</v>
      </c>
      <c r="AY12" s="141">
        <f t="shared" si="20"/>
        <v>1.1111111111111112</v>
      </c>
      <c r="AZ12" s="141">
        <f t="shared" si="16"/>
        <v>0.45</v>
      </c>
      <c r="BA12" s="81">
        <v>0.9</v>
      </c>
      <c r="BB12" s="151">
        <f>VLOOKUP(C12,WB!$B$42:$U$71,WB!$H$40,FALSE)</f>
        <v>0.82099343955014059</v>
      </c>
      <c r="BC12" s="141">
        <f t="shared" si="17"/>
        <v>0.91221493283348953</v>
      </c>
      <c r="BD12" s="144">
        <f t="shared" si="18"/>
        <v>0.4104967197750703</v>
      </c>
      <c r="BE12" s="141">
        <f t="shared" si="28"/>
        <v>0.62440949534513046</v>
      </c>
      <c r="BF12" s="141">
        <v>0.9</v>
      </c>
      <c r="BG12" s="4"/>
    </row>
    <row r="13" spans="2:59" ht="41.45" customHeight="1">
      <c r="B13" s="166" t="s">
        <v>95</v>
      </c>
      <c r="C13" s="170" t="s">
        <v>99</v>
      </c>
      <c r="D13" s="145">
        <v>0.7</v>
      </c>
      <c r="E13" s="150">
        <f>VLOOKUP(C13,WB!$C$78:$U$92,WB!$J$76,FALSE)</f>
        <v>0.76300000000000001</v>
      </c>
      <c r="F13" s="139">
        <f t="shared" si="3"/>
        <v>1.0900000000000001</v>
      </c>
      <c r="G13" s="138">
        <f>IF(F13&gt;=100%,6%,F13*6%/100%)</f>
        <v>0.06</v>
      </c>
      <c r="H13" s="145">
        <v>0.88</v>
      </c>
      <c r="I13" s="151">
        <f>VLOOKUP(C13,WB!$C$78:$U$92,WB!$K$76,FALSE)</f>
        <v>0.95599999999999996</v>
      </c>
      <c r="J13" s="139">
        <f t="shared" si="4"/>
        <v>1.0863636363636364</v>
      </c>
      <c r="K13" s="138">
        <f>IF(J13&gt;=100%,6%,J13*6%/100%)</f>
        <v>0.06</v>
      </c>
      <c r="L13" s="140" t="s">
        <v>84</v>
      </c>
      <c r="M13" s="80" t="s">
        <v>85</v>
      </c>
      <c r="N13" s="81">
        <v>0.1</v>
      </c>
      <c r="O13" s="138">
        <f t="shared" si="5"/>
        <v>5.000000000000001E-3</v>
      </c>
      <c r="P13" s="81">
        <v>0.9</v>
      </c>
      <c r="Q13" s="141">
        <f t="shared" si="6"/>
        <v>1</v>
      </c>
      <c r="R13" s="141">
        <f t="shared" si="7"/>
        <v>1.1111111111111112</v>
      </c>
      <c r="S13" s="139">
        <f t="shared" ref="S13:S15" si="29">IF(R13&gt;=100%,4%,R13*4%/100%)</f>
        <v>0.04</v>
      </c>
      <c r="T13" s="142">
        <v>0.74</v>
      </c>
      <c r="U13" s="151">
        <f>VLOOKUP(C13,WB!$C$137:$AA$154,WB!$Q$136,FALSE)</f>
        <v>0.73988439306358378</v>
      </c>
      <c r="V13" s="141">
        <f t="shared" si="8"/>
        <v>0.99984377441024841</v>
      </c>
      <c r="W13" s="139">
        <f>IF(V13&gt;=100%,4%,V13*4%/100%)</f>
        <v>3.9993750976409941E-2</v>
      </c>
      <c r="X13" s="156" t="s">
        <v>261</v>
      </c>
      <c r="Y13" s="138">
        <f>VLOOKUP(C13,WB!$R$3:$AD$18,WB!$AD$2,FALSE)</f>
        <v>0.6</v>
      </c>
      <c r="Z13" s="139">
        <f t="shared" si="10"/>
        <v>0.03</v>
      </c>
      <c r="AA13" s="80" t="s">
        <v>88</v>
      </c>
      <c r="AB13" s="81">
        <v>0.75</v>
      </c>
      <c r="AC13" s="139">
        <f t="shared" si="11"/>
        <v>2.2499999999999999E-2</v>
      </c>
      <c r="AD13" s="148" t="s">
        <v>88</v>
      </c>
      <c r="AE13" s="153">
        <v>0.75</v>
      </c>
      <c r="AF13" s="139">
        <f t="shared" si="12"/>
        <v>5.2500000000000005E-2</v>
      </c>
      <c r="AG13" s="10">
        <v>3400000</v>
      </c>
      <c r="AH13" s="157">
        <f>VLOOKUP(C13,WB!$C$99:$U$132,WB!$J$98,FALSE)</f>
        <v>1760989</v>
      </c>
      <c r="AI13" s="139">
        <f t="shared" si="13"/>
        <v>0.51793794117647063</v>
      </c>
      <c r="AJ13" s="139">
        <f>IF(AI13&gt;=100%,20%,AI13*20%/100%)</f>
        <v>0.10358758823529413</v>
      </c>
      <c r="AK13" s="143">
        <v>1.48</v>
      </c>
      <c r="AL13" s="160">
        <f>VLOOKUP(C13,WB!$C$99:$U$132,WB!$K$98,FALSE)</f>
        <v>1.44</v>
      </c>
      <c r="AM13" s="139">
        <f t="shared" si="14"/>
        <v>0.97297297297297292</v>
      </c>
      <c r="AN13" s="139">
        <f>IF(AM13&gt;=100%,10%,AM13*10%/100%)</f>
        <v>9.7297297297297303E-2</v>
      </c>
      <c r="AO13" s="43">
        <v>2390</v>
      </c>
      <c r="AP13" s="43">
        <f>VLOOKUP(C13,WB!$B$3:$O$35,WB!$O$2,FALSE)</f>
        <v>990</v>
      </c>
      <c r="AQ13" s="138">
        <f t="shared" si="15"/>
        <v>0.41422594142259417</v>
      </c>
      <c r="AR13" s="139">
        <f>IF(AQ13&gt;=100%,30%,AQ13*30%/100%)</f>
        <v>0.12426778242677824</v>
      </c>
      <c r="AS13" s="98">
        <v>0.23</v>
      </c>
      <c r="AT13" s="98">
        <v>0.33</v>
      </c>
      <c r="AU13" s="78"/>
      <c r="AV13" s="78"/>
      <c r="AW13" s="81">
        <v>0.9</v>
      </c>
      <c r="AX13" s="151">
        <f>VLOOKUP(C13,WB!$B$42:$U$71,WB!$I$40,FALSE)</f>
        <v>1</v>
      </c>
      <c r="AY13" s="141">
        <f t="shared" si="20"/>
        <v>1.1111111111111112</v>
      </c>
      <c r="AZ13" s="141">
        <f t="shared" si="16"/>
        <v>0.5</v>
      </c>
      <c r="BA13" s="81">
        <v>0.9</v>
      </c>
      <c r="BB13" s="151">
        <f>VLOOKUP(C13,WB!$B$42:$U$71,WB!$H$40,FALSE)</f>
        <v>1</v>
      </c>
      <c r="BC13" s="141">
        <f t="shared" si="17"/>
        <v>1.1111111111111112</v>
      </c>
      <c r="BD13" s="144">
        <f t="shared" si="18"/>
        <v>0.5</v>
      </c>
      <c r="BE13" s="141">
        <f t="shared" si="28"/>
        <v>0.63514641893577961</v>
      </c>
      <c r="BF13" s="141">
        <v>0.7</v>
      </c>
      <c r="BG13" s="4"/>
    </row>
    <row r="14" spans="2:59" ht="41.45" customHeight="1">
      <c r="B14" s="166" t="s">
        <v>95</v>
      </c>
      <c r="C14" s="170" t="s">
        <v>100</v>
      </c>
      <c r="D14" s="145">
        <v>0.75</v>
      </c>
      <c r="E14" s="150">
        <f>VLOOKUP(C14,WB!$C$78:$U$92,WB!$J$76,FALSE)</f>
        <v>0.76100000000000001</v>
      </c>
      <c r="F14" s="139">
        <f t="shared" si="3"/>
        <v>1.0146666666666666</v>
      </c>
      <c r="G14" s="138">
        <f>IF(F14&gt;=100%,6%,F14*6%/100%)</f>
        <v>0.06</v>
      </c>
      <c r="H14" s="145">
        <v>0.83</v>
      </c>
      <c r="I14" s="151">
        <f>VLOOKUP(C14,WB!$C$78:$U$92,WB!$K$76,FALSE)</f>
        <v>0.878</v>
      </c>
      <c r="J14" s="139">
        <f t="shared" si="4"/>
        <v>1.0578313253012048</v>
      </c>
      <c r="K14" s="139">
        <f>IF(J14&gt;=100%,6%,J14*6%/100%)</f>
        <v>0.06</v>
      </c>
      <c r="L14" s="140" t="s">
        <v>84</v>
      </c>
      <c r="M14" s="80" t="s">
        <v>85</v>
      </c>
      <c r="N14" s="81">
        <v>0.1</v>
      </c>
      <c r="O14" s="138">
        <f t="shared" si="5"/>
        <v>5.000000000000001E-3</v>
      </c>
      <c r="P14" s="81">
        <v>0.9</v>
      </c>
      <c r="Q14" s="141">
        <f t="shared" si="6"/>
        <v>0.86935483870967745</v>
      </c>
      <c r="R14" s="141">
        <f t="shared" si="7"/>
        <v>0.96594982078853042</v>
      </c>
      <c r="S14" s="139">
        <f t="shared" si="29"/>
        <v>3.8637992831541221E-2</v>
      </c>
      <c r="T14" s="145">
        <v>0.71</v>
      </c>
      <c r="U14" s="151">
        <f>VLOOKUP(C14,WB!$C$137:$AA$154,WB!$Q$136,FALSE)</f>
        <v>0.54352941176470593</v>
      </c>
      <c r="V14" s="141">
        <f t="shared" si="8"/>
        <v>0.76553438276719143</v>
      </c>
      <c r="W14" s="139">
        <f t="shared" si="24"/>
        <v>3.0621375310687659E-2</v>
      </c>
      <c r="X14" s="156" t="s">
        <v>261</v>
      </c>
      <c r="Y14" s="138">
        <f>VLOOKUP(C14,WB!$R$3:$AD$18,WB!$AD$2,FALSE)</f>
        <v>0.5</v>
      </c>
      <c r="Z14" s="139">
        <f t="shared" si="10"/>
        <v>2.5000000000000001E-2</v>
      </c>
      <c r="AA14" s="171" t="s">
        <v>101</v>
      </c>
      <c r="AB14" s="171" t="s">
        <v>101</v>
      </c>
      <c r="AC14" s="171"/>
      <c r="AD14" s="148" t="s">
        <v>88</v>
      </c>
      <c r="AE14" s="153">
        <v>0.75</v>
      </c>
      <c r="AF14" s="139">
        <f>IF(AE14&gt;=100%,10%,AE14*10%/100%)</f>
        <v>7.5000000000000011E-2</v>
      </c>
      <c r="AG14" s="10">
        <v>2360000</v>
      </c>
      <c r="AH14" s="157">
        <f>VLOOKUP(C14,WB!$C$99:$U$132,WB!$J$98,FALSE)</f>
        <v>1705808</v>
      </c>
      <c r="AI14" s="139">
        <f t="shared" si="13"/>
        <v>0.7228</v>
      </c>
      <c r="AJ14" s="139">
        <f>IF(AI14&gt;=100%,20%,AI14*20%/100%)</f>
        <v>0.14455999999999999</v>
      </c>
      <c r="AK14" s="143">
        <v>1.39</v>
      </c>
      <c r="AL14" s="160">
        <f>VLOOKUP(C14,WB!$C$99:$U$132,WB!$K$98,FALSE)</f>
        <v>1.37</v>
      </c>
      <c r="AM14" s="139">
        <f t="shared" si="14"/>
        <v>0.98561151079136711</v>
      </c>
      <c r="AN14" s="139">
        <f>IF(AM14&gt;=100%,10%,AM14*10%/100%)</f>
        <v>9.8561151079136711E-2</v>
      </c>
      <c r="AO14" s="43">
        <v>2400</v>
      </c>
      <c r="AP14" s="43">
        <f>VLOOKUP(C14,WB!$B$3:$O$35,WB!$O$2,FALSE)</f>
        <v>1165</v>
      </c>
      <c r="AQ14" s="138">
        <f t="shared" si="15"/>
        <v>0.48541666666666666</v>
      </c>
      <c r="AR14" s="139">
        <f>IF(AQ14&gt;=100%,30%,AQ14*30%/100%)</f>
        <v>0.145625</v>
      </c>
      <c r="AS14" s="98">
        <v>0.28000000000000003</v>
      </c>
      <c r="AT14" s="98">
        <v>0.4</v>
      </c>
      <c r="AU14" s="78"/>
      <c r="AV14" s="78"/>
      <c r="AW14" s="81">
        <v>0.9</v>
      </c>
      <c r="AX14" s="151">
        <f>VLOOKUP(C14,WB!$B$42:$U$71,WB!$I$40,FALSE)</f>
        <v>0.94</v>
      </c>
      <c r="AY14" s="141">
        <f t="shared" si="20"/>
        <v>1.0444444444444443</v>
      </c>
      <c r="AZ14" s="141">
        <f t="shared" si="16"/>
        <v>0.45</v>
      </c>
      <c r="BA14" s="81">
        <v>0.9</v>
      </c>
      <c r="BB14" s="151">
        <f>VLOOKUP(C14,WB!$B$42:$U$71,WB!$H$40,FALSE)</f>
        <v>0.83870967741935487</v>
      </c>
      <c r="BC14" s="141">
        <f t="shared" si="17"/>
        <v>0.93189964157706096</v>
      </c>
      <c r="BD14" s="144">
        <f t="shared" si="18"/>
        <v>0.41935483870967744</v>
      </c>
      <c r="BE14" s="141">
        <f>AR14+AN14+AJ14+W14+S14+K14+G14+AF14+AC14+Z14+O14</f>
        <v>0.68300551922136554</v>
      </c>
      <c r="BF14" s="141">
        <v>0.3</v>
      </c>
      <c r="BG14" s="4"/>
    </row>
    <row r="15" spans="2:59" ht="40.700000000000003" customHeight="1">
      <c r="B15" s="166" t="s">
        <v>95</v>
      </c>
      <c r="C15" s="170" t="s">
        <v>102</v>
      </c>
      <c r="D15" s="145">
        <v>0.84</v>
      </c>
      <c r="E15" s="150">
        <f>VLOOKUP(C15,WB!$C$78:$U$92,WB!$J$76,FALSE)</f>
        <v>0.89200000000000002</v>
      </c>
      <c r="F15" s="139">
        <f t="shared" si="3"/>
        <v>1.0619047619047619</v>
      </c>
      <c r="G15" s="138">
        <f>IF(F15&gt;=100%,6%,F15*6%/100%)</f>
        <v>0.06</v>
      </c>
      <c r="H15" s="145">
        <v>0.9</v>
      </c>
      <c r="I15" s="151">
        <f>VLOOKUP(C15,WB!$C$78:$U$92,WB!$K$76,FALSE)</f>
        <v>0.94499999999999995</v>
      </c>
      <c r="J15" s="139">
        <f t="shared" si="4"/>
        <v>1.0499999999999998</v>
      </c>
      <c r="K15" s="139">
        <f>IF(J15&gt;=100%,6%,J15*6%/100%)</f>
        <v>0.06</v>
      </c>
      <c r="L15" s="140" t="s">
        <v>84</v>
      </c>
      <c r="M15" s="80" t="s">
        <v>85</v>
      </c>
      <c r="N15" s="81">
        <v>0.1</v>
      </c>
      <c r="O15" s="138">
        <f t="shared" si="5"/>
        <v>5.000000000000001E-3</v>
      </c>
      <c r="P15" s="81">
        <v>0.9</v>
      </c>
      <c r="Q15" s="141">
        <f t="shared" si="6"/>
        <v>0.88478260869565217</v>
      </c>
      <c r="R15" s="141">
        <f t="shared" si="7"/>
        <v>0.98309178743961345</v>
      </c>
      <c r="S15" s="139">
        <f t="shared" si="29"/>
        <v>3.9323671497584541E-2</v>
      </c>
      <c r="T15" s="142">
        <v>0.74</v>
      </c>
      <c r="U15" s="151">
        <f>VLOOKUP(C15,WB!$C$137:$AA$154,WB!$Q$136,FALSE)</f>
        <v>0.70674486803519065</v>
      </c>
      <c r="V15" s="141">
        <f t="shared" si="8"/>
        <v>0.9550606324799874</v>
      </c>
      <c r="W15" s="139">
        <f t="shared" si="24"/>
        <v>3.8202425299199497E-2</v>
      </c>
      <c r="X15" s="156" t="s">
        <v>261</v>
      </c>
      <c r="Y15" s="138">
        <f>VLOOKUP(C15,WB!$R$3:$AD$18,WB!$AD$2,FALSE)</f>
        <v>0.2</v>
      </c>
      <c r="Z15" s="139">
        <f t="shared" si="10"/>
        <v>1.0000000000000002E-2</v>
      </c>
      <c r="AA15" s="171" t="s">
        <v>101</v>
      </c>
      <c r="AB15" s="171" t="s">
        <v>101</v>
      </c>
      <c r="AC15" s="171"/>
      <c r="AD15" s="148" t="s">
        <v>88</v>
      </c>
      <c r="AE15" s="153">
        <v>0.75</v>
      </c>
      <c r="AF15" s="139">
        <f t="shared" ref="AF15:AF18" si="30">IF(AE15&gt;=100%,10%,AE15*10%/100%)</f>
        <v>7.5000000000000011E-2</v>
      </c>
      <c r="AG15" s="10">
        <v>4850000</v>
      </c>
      <c r="AH15" s="157">
        <f>VLOOKUP(C15,WB!$C$99:$U$132,WB!$J$98,FALSE)</f>
        <v>2167868</v>
      </c>
      <c r="AI15" s="139">
        <f t="shared" si="13"/>
        <v>0.44698309278350518</v>
      </c>
      <c r="AJ15" s="139">
        <f t="shared" ref="AJ15:AJ17" si="31">IF(AI15&gt;=100%,20%,AI15*20%/100%)</f>
        <v>8.9396618556701044E-2</v>
      </c>
      <c r="AK15" s="143">
        <v>1.27</v>
      </c>
      <c r="AL15" s="160">
        <f>VLOOKUP(C15,WB!$C$99:$U$132,WB!$K$98,FALSE)</f>
        <v>1.56</v>
      </c>
      <c r="AM15" s="139">
        <f t="shared" si="14"/>
        <v>1.2283464566929134</v>
      </c>
      <c r="AN15" s="139">
        <f t="shared" ref="AN15:AN17" si="32">IF(AM15&gt;=100%,10%,AM15*10%/100%)</f>
        <v>0.1</v>
      </c>
      <c r="AO15" s="43">
        <v>2300</v>
      </c>
      <c r="AP15" s="43">
        <f>VLOOKUP(C15,WB!$B$3:$O$35,WB!$O$2,FALSE)</f>
        <v>1061</v>
      </c>
      <c r="AQ15" s="138">
        <f t="shared" si="15"/>
        <v>0.46130434782608698</v>
      </c>
      <c r="AR15" s="139">
        <f t="shared" ref="AR15:AR17" si="33">IF(AQ15&gt;=100%,30%,AQ15*30%/100%)</f>
        <v>0.13839130434782609</v>
      </c>
      <c r="AS15" s="98">
        <v>0.28000000000000003</v>
      </c>
      <c r="AT15" s="98">
        <v>0.41</v>
      </c>
      <c r="AU15" s="78"/>
      <c r="AV15" s="78"/>
      <c r="AW15" s="81">
        <v>0.9</v>
      </c>
      <c r="AX15" s="151">
        <f>VLOOKUP(C15,WB!$B$42:$U$71,WB!$I$40,FALSE)</f>
        <v>0.86956521739130432</v>
      </c>
      <c r="AY15" s="141">
        <f t="shared" si="20"/>
        <v>0.96618357487922701</v>
      </c>
      <c r="AZ15" s="141">
        <f t="shared" si="16"/>
        <v>0.43478260869565216</v>
      </c>
      <c r="BA15" s="81">
        <v>0.9</v>
      </c>
      <c r="BB15" s="151">
        <f>VLOOKUP(C15,WB!$B$42:$U$71,WB!$H$40,FALSE)</f>
        <v>0.93508936970837253</v>
      </c>
      <c r="BC15" s="141">
        <f t="shared" si="17"/>
        <v>1.0389881885648584</v>
      </c>
      <c r="BD15" s="144">
        <f t="shared" si="18"/>
        <v>0.45</v>
      </c>
      <c r="BE15" s="141">
        <f t="shared" si="28"/>
        <v>0.61531401970131105</v>
      </c>
      <c r="BF15" s="141"/>
    </row>
    <row r="16" spans="2:59" ht="40.35" customHeight="1">
      <c r="B16" s="166" t="s">
        <v>95</v>
      </c>
      <c r="C16" s="170" t="s">
        <v>103</v>
      </c>
      <c r="D16" s="145">
        <v>0.85</v>
      </c>
      <c r="E16" s="150">
        <f>VLOOKUP(C16,WB!$C$78:$U$92,WB!$J$76,FALSE)</f>
        <v>0.89500000000000002</v>
      </c>
      <c r="F16" s="139">
        <f t="shared" si="3"/>
        <v>1.0529411764705883</v>
      </c>
      <c r="G16" s="138">
        <f>IF(F16&gt;=100%,6%,F16*6%/100%)</f>
        <v>0.06</v>
      </c>
      <c r="H16" s="145">
        <v>0.87</v>
      </c>
      <c r="I16" s="151">
        <f>VLOOKUP(C16,WB!$C$78:$U$92,WB!$K$76,FALSE)</f>
        <v>0.93400000000000005</v>
      </c>
      <c r="J16" s="139">
        <f t="shared" si="4"/>
        <v>1.0735632183908046</v>
      </c>
      <c r="K16" s="139">
        <f>IF(J16&gt;=100%,6%,J16*6%/100%)</f>
        <v>0.06</v>
      </c>
      <c r="L16" s="140" t="s">
        <v>84</v>
      </c>
      <c r="M16" s="80" t="s">
        <v>85</v>
      </c>
      <c r="N16" s="81">
        <v>0.1</v>
      </c>
      <c r="O16" s="138">
        <f t="shared" si="5"/>
        <v>5.000000000000001E-3</v>
      </c>
      <c r="P16" s="81">
        <v>0.9</v>
      </c>
      <c r="Q16" s="141">
        <f t="shared" si="6"/>
        <v>0.96190959878110727</v>
      </c>
      <c r="R16" s="141">
        <f t="shared" si="7"/>
        <v>1.0687884430901191</v>
      </c>
      <c r="S16" s="139">
        <f>IF(R16&gt;=100%,4%,R16*4%/100%)</f>
        <v>0.04</v>
      </c>
      <c r="T16" s="142">
        <v>0.68</v>
      </c>
      <c r="U16" s="151">
        <f>VLOOKUP(C16,WB!$C$137:$AA$154,WB!$Q$136,FALSE)</f>
        <v>0.55658436213991769</v>
      </c>
      <c r="V16" s="141">
        <f t="shared" si="8"/>
        <v>0.81850641491164355</v>
      </c>
      <c r="W16" s="139">
        <f>IF(V16&gt;=100%,4%,V16*4%/100%)</f>
        <v>3.274025659646574E-2</v>
      </c>
      <c r="X16" s="156" t="s">
        <v>261</v>
      </c>
      <c r="Y16" s="138">
        <f>VLOOKUP(C16,WB!$R$3:$AD$18,WB!$AD$2,FALSE)</f>
        <v>0.5</v>
      </c>
      <c r="Z16" s="139">
        <f t="shared" si="10"/>
        <v>2.5000000000000001E-2</v>
      </c>
      <c r="AA16" s="171" t="s">
        <v>101</v>
      </c>
      <c r="AB16" s="171" t="s">
        <v>101</v>
      </c>
      <c r="AC16" s="171"/>
      <c r="AD16" s="148" t="s">
        <v>88</v>
      </c>
      <c r="AE16" s="153">
        <v>0.75</v>
      </c>
      <c r="AF16" s="139">
        <f t="shared" si="30"/>
        <v>7.5000000000000011E-2</v>
      </c>
      <c r="AG16" s="10">
        <v>2153000</v>
      </c>
      <c r="AH16" s="157">
        <f>VLOOKUP(C16,WB!$C$99:$U$132,WB!$J$98,FALSE)</f>
        <v>862181</v>
      </c>
      <c r="AI16" s="139">
        <f t="shared" si="13"/>
        <v>0.40045564328843475</v>
      </c>
      <c r="AJ16" s="139">
        <f t="shared" si="31"/>
        <v>8.0091128657686958E-2</v>
      </c>
      <c r="AK16" s="143">
        <v>0.84</v>
      </c>
      <c r="AL16" s="160">
        <f>VLOOKUP(C16,WB!$C$99:$U$132,WB!$K$98,FALSE)</f>
        <v>0.81</v>
      </c>
      <c r="AM16" s="139">
        <f t="shared" si="14"/>
        <v>0.96428571428571441</v>
      </c>
      <c r="AN16" s="139">
        <f t="shared" si="32"/>
        <v>9.6428571428571447E-2</v>
      </c>
      <c r="AO16" s="43">
        <v>1100</v>
      </c>
      <c r="AP16" s="43">
        <f>VLOOKUP(C16,WB!$B$3:$O$35,WB!$O$2,FALSE)</f>
        <v>617</v>
      </c>
      <c r="AQ16" s="138">
        <f t="shared" si="15"/>
        <v>0.56090909090909091</v>
      </c>
      <c r="AR16" s="139">
        <f t="shared" si="33"/>
        <v>0.16827272727272727</v>
      </c>
      <c r="AS16" s="98">
        <v>0.36</v>
      </c>
      <c r="AT16" s="98">
        <v>0.41</v>
      </c>
      <c r="AU16" s="78"/>
      <c r="AV16" s="78"/>
      <c r="AW16" s="81">
        <v>0.9</v>
      </c>
      <c r="AX16" s="151">
        <f>VLOOKUP(C16,WB!$B$42:$U$71,WB!$I$40,FALSE)</f>
        <v>1</v>
      </c>
      <c r="AY16" s="141">
        <f t="shared" si="20"/>
        <v>1.1111111111111112</v>
      </c>
      <c r="AZ16" s="141">
        <f t="shared" si="16"/>
        <v>0.5</v>
      </c>
      <c r="BA16" s="81">
        <v>0.9</v>
      </c>
      <c r="BB16" s="151">
        <f>VLOOKUP(C16,WB!$B$42:$U$71,WB!$H$40,FALSE)</f>
        <v>0.92381919756221431</v>
      </c>
      <c r="BC16" s="141">
        <f t="shared" si="17"/>
        <v>1.0264657750691271</v>
      </c>
      <c r="BD16" s="144">
        <f t="shared" si="18"/>
        <v>0.46190959878110721</v>
      </c>
      <c r="BE16" s="141">
        <f t="shared" si="28"/>
        <v>0.64253268395545149</v>
      </c>
      <c r="BF16" s="141">
        <v>0.5</v>
      </c>
    </row>
    <row r="17" spans="2:58" ht="42" customHeight="1">
      <c r="B17" s="167" t="s">
        <v>104</v>
      </c>
      <c r="C17" s="170" t="s">
        <v>105</v>
      </c>
      <c r="D17" s="145">
        <v>0.7</v>
      </c>
      <c r="E17" s="150">
        <f>VLOOKUP(C17,WB!$C$78:$U$92,WB!$J$76,FALSE)</f>
        <v>0.56200000000000006</v>
      </c>
      <c r="F17" s="139">
        <f t="shared" si="3"/>
        <v>0.80285714285714294</v>
      </c>
      <c r="G17" s="138">
        <f>IF(F17&gt;=100%,6%,F17*6%/100%)</f>
        <v>4.8171428571428573E-2</v>
      </c>
      <c r="H17" s="145">
        <v>0.88</v>
      </c>
      <c r="I17" s="151">
        <f>VLOOKUP(C17,WB!$C$78:$U$92,WB!$K$76,FALSE)</f>
        <v>0.93</v>
      </c>
      <c r="J17" s="139">
        <f t="shared" si="4"/>
        <v>1.0568181818181819</v>
      </c>
      <c r="K17" s="139">
        <f>IF(J17&gt;=100%,6%,J17*6%/100%)</f>
        <v>0.06</v>
      </c>
      <c r="L17" s="140" t="s">
        <v>84</v>
      </c>
      <c r="M17" s="80" t="s">
        <v>85</v>
      </c>
      <c r="N17" s="81">
        <v>0.1</v>
      </c>
      <c r="O17" s="138">
        <f t="shared" si="5"/>
        <v>5.000000000000001E-3</v>
      </c>
      <c r="P17" s="81">
        <v>0.9</v>
      </c>
      <c r="Q17" s="141">
        <f t="shared" si="6"/>
        <v>0.79826012810269886</v>
      </c>
      <c r="R17" s="141">
        <f t="shared" si="7"/>
        <v>0.88695569789188755</v>
      </c>
      <c r="S17" s="139">
        <f>IF(R17&gt;=100%,4%,R17*4%/100%)</f>
        <v>3.5478227915675502E-2</v>
      </c>
      <c r="T17" s="142">
        <v>0.53</v>
      </c>
      <c r="U17" s="151">
        <f>VLOOKUP(C17,WB!$C$137:$AA$154,WB!$Q$136,FALSE)</f>
        <v>0</v>
      </c>
      <c r="V17" s="141">
        <f t="shared" si="8"/>
        <v>0</v>
      </c>
      <c r="W17" s="139">
        <f>IF(V17&gt;=100%,4%,V17*4%/100%)</f>
        <v>0</v>
      </c>
      <c r="X17" s="156" t="s">
        <v>261</v>
      </c>
      <c r="Y17" s="138">
        <f>VLOOKUP(C17,WB!$R$3:$AD$18,WB!$AD$2,FALSE)</f>
        <v>0.5</v>
      </c>
      <c r="Z17" s="139">
        <f t="shared" si="10"/>
        <v>2.5000000000000001E-2</v>
      </c>
      <c r="AA17" s="171" t="s">
        <v>101</v>
      </c>
      <c r="AB17" s="171" t="s">
        <v>101</v>
      </c>
      <c r="AC17" s="171"/>
      <c r="AD17" s="148" t="s">
        <v>88</v>
      </c>
      <c r="AE17" s="153">
        <v>0.75</v>
      </c>
      <c r="AF17" s="139">
        <f t="shared" si="30"/>
        <v>7.5000000000000011E-2</v>
      </c>
      <c r="AG17" s="10">
        <v>700000</v>
      </c>
      <c r="AH17" s="157">
        <f>VLOOKUP(C17,WB!$C$99:$U$132,WB!$J$98,FALSE)</f>
        <v>219059</v>
      </c>
      <c r="AI17" s="139">
        <f t="shared" si="13"/>
        <v>0.31294142857142859</v>
      </c>
      <c r="AJ17" s="139">
        <f t="shared" si="31"/>
        <v>6.2588285714285721E-2</v>
      </c>
      <c r="AK17" s="143">
        <v>1.03</v>
      </c>
      <c r="AL17" s="160">
        <f>VLOOKUP(C17,WB!$C$99:$U$132,WB!$K$98,FALSE)</f>
        <v>0</v>
      </c>
      <c r="AM17" s="139">
        <f t="shared" si="14"/>
        <v>0</v>
      </c>
      <c r="AN17" s="139">
        <f t="shared" si="32"/>
        <v>0</v>
      </c>
      <c r="AO17" s="43">
        <v>1269</v>
      </c>
      <c r="AP17" s="43">
        <f>VLOOKUP(C17,WB!$B$3:$O$37,WB!$O$2,FALSE)</f>
        <v>774</v>
      </c>
      <c r="AQ17" s="138">
        <f t="shared" si="15"/>
        <v>0.60992907801418439</v>
      </c>
      <c r="AR17" s="139">
        <f t="shared" si="33"/>
        <v>0.18297872340425531</v>
      </c>
      <c r="AS17" s="98">
        <v>0.36</v>
      </c>
      <c r="AT17" s="98">
        <v>0.41</v>
      </c>
      <c r="AU17" s="78"/>
      <c r="AV17" s="78"/>
      <c r="AW17" s="81">
        <v>0.9</v>
      </c>
      <c r="AX17" s="151">
        <f>VLOOKUP(C17,WB!$B$42:$U$73,WB!$I$40,FALSE)</f>
        <v>0.95218855218855225</v>
      </c>
      <c r="AY17" s="141">
        <f t="shared" si="20"/>
        <v>1.0579872802095025</v>
      </c>
      <c r="AZ17" s="141">
        <f t="shared" si="16"/>
        <v>0.45</v>
      </c>
      <c r="BA17" s="81">
        <v>0.9</v>
      </c>
      <c r="BB17" s="151">
        <f>VLOOKUP(C17,WB!$B$42:$U$73,WB!$H$40,FALSE)</f>
        <v>0.6965202562053977</v>
      </c>
      <c r="BC17" s="141">
        <f t="shared" si="17"/>
        <v>0.77391139578377521</v>
      </c>
      <c r="BD17" s="144">
        <f t="shared" si="18"/>
        <v>0.34826012810269885</v>
      </c>
      <c r="BE17" s="141">
        <f t="shared" si="28"/>
        <v>0.49421666560564514</v>
      </c>
      <c r="BF17" s="141">
        <v>0.65</v>
      </c>
    </row>
    <row r="18" spans="2:58" ht="58.35" customHeight="1">
      <c r="B18" s="167" t="s">
        <v>104</v>
      </c>
      <c r="C18" s="170" t="s">
        <v>106</v>
      </c>
      <c r="D18" s="146" t="s">
        <v>107</v>
      </c>
      <c r="E18" s="80" t="s">
        <v>107</v>
      </c>
      <c r="F18" s="139" t="s">
        <v>107</v>
      </c>
      <c r="G18" s="139" t="s">
        <v>107</v>
      </c>
      <c r="H18" s="146" t="s">
        <v>107</v>
      </c>
      <c r="I18" s="146" t="s">
        <v>107</v>
      </c>
      <c r="J18" s="80" t="s">
        <v>107</v>
      </c>
      <c r="K18" s="80" t="s">
        <v>107</v>
      </c>
      <c r="L18" s="140" t="s">
        <v>84</v>
      </c>
      <c r="M18" s="80" t="s">
        <v>85</v>
      </c>
      <c r="N18" s="81">
        <v>0.1</v>
      </c>
      <c r="O18" s="138">
        <f t="shared" si="5"/>
        <v>5.000000000000001E-3</v>
      </c>
      <c r="P18" s="81">
        <v>0.9</v>
      </c>
      <c r="Q18" s="141">
        <f t="shared" si="6"/>
        <v>0.52876084485888086</v>
      </c>
      <c r="R18" s="141">
        <f t="shared" si="7"/>
        <v>0.58751204984320093</v>
      </c>
      <c r="S18" s="139">
        <f>IF(R18&gt;=100%,5%,R18*5%/100%)</f>
        <v>2.9375602492160049E-2</v>
      </c>
      <c r="T18" s="142">
        <v>0.63</v>
      </c>
      <c r="U18" s="151">
        <f>VLOOKUP(C18,WB!$C$137:$AA$154,WB!$Q$136,FALSE)</f>
        <v>0.37886597938144329</v>
      </c>
      <c r="V18" s="141">
        <f t="shared" si="8"/>
        <v>0.60137457044673537</v>
      </c>
      <c r="W18" s="139">
        <f>IF(V18&gt;=100%,5%,V18*5%/100%)</f>
        <v>3.006872852233677E-2</v>
      </c>
      <c r="X18" s="156" t="s">
        <v>261</v>
      </c>
      <c r="Y18" s="138">
        <f>VLOOKUP(C18,WB!$R$3:$AD$18,WB!$AD$2,FALSE)</f>
        <v>0.4</v>
      </c>
      <c r="Z18" s="139">
        <f t="shared" si="10"/>
        <v>2.0000000000000004E-2</v>
      </c>
      <c r="AA18" s="171" t="s">
        <v>101</v>
      </c>
      <c r="AB18" s="171" t="s">
        <v>101</v>
      </c>
      <c r="AC18" s="171"/>
      <c r="AD18" s="148" t="s">
        <v>88</v>
      </c>
      <c r="AE18" s="153">
        <v>0.75</v>
      </c>
      <c r="AF18" s="139">
        <f t="shared" si="30"/>
        <v>7.5000000000000011E-2</v>
      </c>
      <c r="AG18" s="10">
        <v>100000</v>
      </c>
      <c r="AH18" s="157">
        <f>VLOOKUP(C18,WB!$C$99:$U$132,WB!$J$98,FALSE)</f>
        <v>55143</v>
      </c>
      <c r="AI18" s="139">
        <f t="shared" ref="AI18:AI22" si="34">AH18/AG18</f>
        <v>0.55142999999999998</v>
      </c>
      <c r="AJ18" s="139">
        <f>IF(AI18&gt;=100%,25%,AI18*25%/100%)</f>
        <v>0.13785749999999999</v>
      </c>
      <c r="AK18" s="143">
        <v>2.02</v>
      </c>
      <c r="AL18" s="160">
        <f>VLOOKUP(C18,WB!$C$99:$U$132,WB!$K$98,FALSE)</f>
        <v>0</v>
      </c>
      <c r="AM18" s="139">
        <f t="shared" ref="AM18:AM22" si="35">AL18/AK18</f>
        <v>0</v>
      </c>
      <c r="AN18" s="139">
        <f>IF(AM18&gt;=100%,10%,AM18*10%/100%)</f>
        <v>0</v>
      </c>
      <c r="AO18" s="146">
        <v>742</v>
      </c>
      <c r="AP18" s="43">
        <f>VLOOKUP(C18,WB!$B$3:$O$37,WB!$O$2,FALSE)</f>
        <v>320</v>
      </c>
      <c r="AQ18" s="138">
        <f t="shared" si="15"/>
        <v>0.43126684636118601</v>
      </c>
      <c r="AR18" s="139">
        <f>IF(AQ18&gt;=100%,35%,AQ18*35%/100%)</f>
        <v>0.15094339622641509</v>
      </c>
      <c r="AS18" s="146" t="s">
        <v>101</v>
      </c>
      <c r="AT18" s="146" t="s">
        <v>101</v>
      </c>
      <c r="AU18" s="78"/>
      <c r="AV18" s="78"/>
      <c r="AW18" s="81">
        <v>0.9</v>
      </c>
      <c r="AX18" s="151">
        <f>VLOOKUP(C18,WB!$B$42:$U$73,WB!$I$40,FALSE)</f>
        <v>0.75800865800865802</v>
      </c>
      <c r="AY18" s="141">
        <f t="shared" si="20"/>
        <v>0.84223184223184222</v>
      </c>
      <c r="AZ18" s="141">
        <f t="shared" si="16"/>
        <v>0.37900432900432901</v>
      </c>
      <c r="BA18" s="81">
        <v>0.9</v>
      </c>
      <c r="BB18" s="151">
        <f>VLOOKUP(C18,WB!$B$42:$U$73,WB!$H$40,FALSE)</f>
        <v>0.29951303170910376</v>
      </c>
      <c r="BC18" s="141">
        <f t="shared" si="17"/>
        <v>0.3327922574545597</v>
      </c>
      <c r="BD18" s="144">
        <f t="shared" si="18"/>
        <v>0.14975651585455188</v>
      </c>
      <c r="BE18" s="141">
        <f>AR18+AN18+AJ18+W18+S18+AF18+Z18+O18</f>
        <v>0.44824522724091193</v>
      </c>
      <c r="BF18" s="141">
        <v>0.95</v>
      </c>
    </row>
    <row r="19" spans="2:58">
      <c r="B19" s="168" t="s">
        <v>108</v>
      </c>
      <c r="C19" s="170" t="s">
        <v>109</v>
      </c>
      <c r="D19" s="146" t="s">
        <v>107</v>
      </c>
      <c r="E19" s="80" t="s">
        <v>107</v>
      </c>
      <c r="F19" s="139" t="s">
        <v>107</v>
      </c>
      <c r="G19" s="139"/>
      <c r="H19" s="146" t="s">
        <v>101</v>
      </c>
      <c r="I19" s="146" t="s">
        <v>101</v>
      </c>
      <c r="J19" s="80" t="s">
        <v>107</v>
      </c>
      <c r="K19" s="80"/>
      <c r="L19" s="146" t="s">
        <v>101</v>
      </c>
      <c r="M19" s="80"/>
      <c r="N19" s="80"/>
      <c r="O19" s="80"/>
      <c r="P19" s="81">
        <v>0.9</v>
      </c>
      <c r="Q19" s="141">
        <f t="shared" si="6"/>
        <v>1.7793594306049823E-3</v>
      </c>
      <c r="R19" s="141">
        <f t="shared" si="7"/>
        <v>1.9770660340055358E-3</v>
      </c>
      <c r="S19" s="141"/>
      <c r="T19" s="142">
        <v>0.75</v>
      </c>
      <c r="U19" s="139" t="e">
        <f>VLOOKUP(C19,Sheet2!$B$38:$D$52,Sheet2!$D$37,FALSE)</f>
        <v>#N/A</v>
      </c>
      <c r="V19" s="141" t="e">
        <f t="shared" si="8"/>
        <v>#N/A</v>
      </c>
      <c r="W19" s="141"/>
      <c r="X19" s="147" t="s">
        <v>101</v>
      </c>
      <c r="Y19" s="80"/>
      <c r="Z19" s="80"/>
      <c r="AA19" s="171"/>
      <c r="AB19" s="171"/>
      <c r="AC19" s="171"/>
      <c r="AD19" s="78"/>
      <c r="AE19" s="78"/>
      <c r="AF19" s="78"/>
      <c r="AG19" s="10">
        <v>597149</v>
      </c>
      <c r="AH19" s="157">
        <f>VLOOKUP(C19,WB!$C$99:$U$132,WB!$J$98,FALSE)</f>
        <v>290483</v>
      </c>
      <c r="AI19" s="139">
        <f t="shared" si="34"/>
        <v>0.48644978054053511</v>
      </c>
      <c r="AJ19" s="78"/>
      <c r="AK19" s="143">
        <v>0.51</v>
      </c>
      <c r="AL19" s="160" t="str">
        <f>VLOOKUP(C19,WB!$C$99:$U$132,WB!$K$98,FALSE)</f>
        <v xml:space="preserve"> -   </v>
      </c>
      <c r="AM19" s="139" t="e">
        <f t="shared" si="35"/>
        <v>#VALUE!</v>
      </c>
      <c r="AN19" s="78"/>
      <c r="AO19" s="146">
        <v>115</v>
      </c>
      <c r="AP19" s="43">
        <f>VLOOKUP(C19,WB!$B$3:$O$35,WB!$O$2,FALSE)</f>
        <v>95</v>
      </c>
      <c r="AQ19" s="138">
        <f t="shared" si="15"/>
        <v>0.82608695652173914</v>
      </c>
      <c r="AR19" s="78"/>
      <c r="AS19" s="146" t="s">
        <v>101</v>
      </c>
      <c r="AT19" s="146" t="s">
        <v>101</v>
      </c>
      <c r="AU19" s="78"/>
      <c r="AV19" s="78"/>
      <c r="AW19" s="81">
        <v>0.9</v>
      </c>
      <c r="AX19" s="151">
        <f>VLOOKUP(C19,WB!$B$42:$U$71,WB!$I$40,FALSE)</f>
        <v>0</v>
      </c>
      <c r="AY19" s="141">
        <f t="shared" si="20"/>
        <v>0</v>
      </c>
      <c r="AZ19" s="144">
        <f t="shared" si="16"/>
        <v>0</v>
      </c>
      <c r="BA19" s="81">
        <v>0.9</v>
      </c>
      <c r="BB19" s="151">
        <f>VLOOKUP(C19,WB!$B$42:$U$71,WB!$H$40,FALSE)</f>
        <v>3.5587188612099642E-3</v>
      </c>
      <c r="BC19" s="141">
        <f t="shared" si="17"/>
        <v>3.9541320680110716E-3</v>
      </c>
      <c r="BD19" s="144">
        <f t="shared" si="18"/>
        <v>1.7793594306049823E-3</v>
      </c>
      <c r="BE19" s="78"/>
      <c r="BF19" s="78"/>
    </row>
    <row r="20" spans="2:58">
      <c r="B20" s="168" t="s">
        <v>108</v>
      </c>
      <c r="C20" s="170" t="s">
        <v>110</v>
      </c>
      <c r="D20" s="146" t="s">
        <v>107</v>
      </c>
      <c r="E20" s="80" t="s">
        <v>107</v>
      </c>
      <c r="F20" s="139" t="s">
        <v>107</v>
      </c>
      <c r="G20" s="139"/>
      <c r="H20" s="146" t="s">
        <v>101</v>
      </c>
      <c r="I20" s="146" t="s">
        <v>101</v>
      </c>
      <c r="J20" s="80" t="s">
        <v>107</v>
      </c>
      <c r="K20" s="80"/>
      <c r="L20" s="146" t="s">
        <v>101</v>
      </c>
      <c r="M20" s="80"/>
      <c r="N20" s="80"/>
      <c r="O20" s="80"/>
      <c r="P20" s="81">
        <v>0.9</v>
      </c>
      <c r="Q20" s="141">
        <f t="shared" si="6"/>
        <v>0.86891891891891893</v>
      </c>
      <c r="R20" s="141">
        <f t="shared" si="7"/>
        <v>0.96546546546546541</v>
      </c>
      <c r="S20" s="141"/>
      <c r="T20" s="142">
        <v>0.71</v>
      </c>
      <c r="U20" s="139" t="e">
        <f>VLOOKUP(C20,Sheet2!$B$38:$D$52,Sheet2!$D$37,FALSE)</f>
        <v>#N/A</v>
      </c>
      <c r="V20" s="141" t="e">
        <f t="shared" si="8"/>
        <v>#N/A</v>
      </c>
      <c r="W20" s="141"/>
      <c r="X20" s="147" t="s">
        <v>101</v>
      </c>
      <c r="Y20" s="80"/>
      <c r="Z20" s="80"/>
      <c r="AA20" s="171"/>
      <c r="AB20" s="171"/>
      <c r="AC20" s="171"/>
      <c r="AD20" s="78"/>
      <c r="AE20" s="78"/>
      <c r="AF20" s="78"/>
      <c r="AG20" s="10">
        <v>320320</v>
      </c>
      <c r="AH20" s="157">
        <f>VLOOKUP(C20,WB!$C$99:$U$132,WB!$J$98,FALSE)</f>
        <v>168353</v>
      </c>
      <c r="AI20" s="139">
        <f t="shared" si="34"/>
        <v>0.52557754745254748</v>
      </c>
      <c r="AJ20" s="78"/>
      <c r="AK20" s="143">
        <v>0.6</v>
      </c>
      <c r="AL20" s="160" t="str">
        <f>VLOOKUP(C20,WB!$C$99:$U$132,WB!$K$98,FALSE)</f>
        <v xml:space="preserve"> -   </v>
      </c>
      <c r="AM20" s="139" t="e">
        <f t="shared" si="35"/>
        <v>#VALUE!</v>
      </c>
      <c r="AN20" s="78"/>
      <c r="AO20" s="80" t="s">
        <v>107</v>
      </c>
      <c r="AP20" s="43">
        <f>VLOOKUP(C20,WB!$B$3:$O$35,WB!$O$2,FALSE)</f>
        <v>166</v>
      </c>
      <c r="AQ20" s="138" t="s">
        <v>107</v>
      </c>
      <c r="AR20" s="80" t="s">
        <v>107</v>
      </c>
      <c r="AS20" s="146" t="s">
        <v>101</v>
      </c>
      <c r="AT20" s="146" t="s">
        <v>101</v>
      </c>
      <c r="AU20" s="78"/>
      <c r="AV20" s="78"/>
      <c r="AW20" s="81">
        <v>0.9</v>
      </c>
      <c r="AX20" s="151">
        <f>VLOOKUP(C20,WB!$B$42:$U$71,WB!$I$40,FALSE)</f>
        <v>1</v>
      </c>
      <c r="AY20" s="141">
        <f t="shared" si="20"/>
        <v>1.1111111111111112</v>
      </c>
      <c r="AZ20" s="144">
        <f t="shared" si="16"/>
        <v>0.45</v>
      </c>
      <c r="BA20" s="81">
        <v>0.9</v>
      </c>
      <c r="BB20" s="151">
        <f>VLOOKUP(C20,WB!$B$42:$U$71,WB!$H$40,FALSE)</f>
        <v>0.83783783783783783</v>
      </c>
      <c r="BC20" s="141">
        <f t="shared" si="17"/>
        <v>0.93093093093093093</v>
      </c>
      <c r="BD20" s="144">
        <f t="shared" si="18"/>
        <v>0.41891891891891891</v>
      </c>
      <c r="BE20" s="78"/>
      <c r="BF20" s="78"/>
    </row>
    <row r="21" spans="2:58">
      <c r="B21" s="168" t="s">
        <v>108</v>
      </c>
      <c r="C21" s="170" t="s">
        <v>111</v>
      </c>
      <c r="D21" s="146" t="s">
        <v>107</v>
      </c>
      <c r="E21" s="80" t="s">
        <v>107</v>
      </c>
      <c r="F21" s="139" t="s">
        <v>107</v>
      </c>
      <c r="G21" s="139"/>
      <c r="H21" s="146" t="s">
        <v>101</v>
      </c>
      <c r="I21" s="146" t="s">
        <v>101</v>
      </c>
      <c r="J21" s="80" t="s">
        <v>107</v>
      </c>
      <c r="K21" s="80"/>
      <c r="L21" s="146" t="s">
        <v>101</v>
      </c>
      <c r="M21" s="80"/>
      <c r="N21" s="80"/>
      <c r="O21" s="80"/>
      <c r="P21" s="81">
        <v>0.9</v>
      </c>
      <c r="Q21" s="141">
        <f t="shared" si="6"/>
        <v>0.26775956284153007</v>
      </c>
      <c r="R21" s="141">
        <f t="shared" si="7"/>
        <v>0.29751062537947787</v>
      </c>
      <c r="S21" s="141"/>
      <c r="T21" s="142">
        <v>0.75</v>
      </c>
      <c r="U21" s="139" t="e">
        <f>VLOOKUP(C21,Sheet2!$B$38:$D$52,Sheet2!$D$37,FALSE)</f>
        <v>#N/A</v>
      </c>
      <c r="V21" s="141" t="e">
        <f t="shared" si="8"/>
        <v>#N/A</v>
      </c>
      <c r="W21" s="141"/>
      <c r="X21" s="147" t="s">
        <v>101</v>
      </c>
      <c r="Y21" s="80"/>
      <c r="Z21" s="80"/>
      <c r="AA21" s="171"/>
      <c r="AB21" s="171"/>
      <c r="AC21" s="171"/>
      <c r="AD21" s="78"/>
      <c r="AE21" s="78"/>
      <c r="AF21" s="78"/>
      <c r="AG21" s="10">
        <v>113417</v>
      </c>
      <c r="AH21" s="157">
        <f>VLOOKUP(C21,WB!$C$99:$U$132,WB!$J$98,FALSE)</f>
        <v>53204</v>
      </c>
      <c r="AI21" s="139">
        <f t="shared" si="34"/>
        <v>0.4691007520918381</v>
      </c>
      <c r="AJ21" s="78"/>
      <c r="AK21" s="143">
        <v>2.2999999999999998</v>
      </c>
      <c r="AL21" s="160" t="str">
        <f>VLOOKUP(C21,WB!$C$99:$U$132,WB!$K$98,FALSE)</f>
        <v xml:space="preserve"> -   </v>
      </c>
      <c r="AM21" s="139" t="e">
        <f t="shared" si="35"/>
        <v>#VALUE!</v>
      </c>
      <c r="AN21" s="78"/>
      <c r="AO21" s="80" t="s">
        <v>107</v>
      </c>
      <c r="AP21" s="43">
        <f>VLOOKUP(C21,WB!$B$3:$O$35,WB!$O$2,FALSE)</f>
        <v>22</v>
      </c>
      <c r="AQ21" s="138" t="s">
        <v>107</v>
      </c>
      <c r="AR21" s="80" t="s">
        <v>107</v>
      </c>
      <c r="AS21" s="146" t="s">
        <v>101</v>
      </c>
      <c r="AT21" s="146" t="s">
        <v>101</v>
      </c>
      <c r="AU21" s="78"/>
      <c r="AV21" s="78"/>
      <c r="AW21" s="81">
        <v>0.9</v>
      </c>
      <c r="AX21" s="151">
        <f>VLOOKUP(C21,WB!$B$42:$U$71,WB!$I$40,FALSE)</f>
        <v>0</v>
      </c>
      <c r="AY21" s="141">
        <f t="shared" si="20"/>
        <v>0</v>
      </c>
      <c r="AZ21" s="144">
        <f t="shared" si="16"/>
        <v>0</v>
      </c>
      <c r="BA21" s="81">
        <v>0.9</v>
      </c>
      <c r="BB21" s="151">
        <f>VLOOKUP(C21,WB!$B$42:$U$71,WB!$H$40,FALSE)</f>
        <v>0.53551912568306015</v>
      </c>
      <c r="BC21" s="141">
        <f t="shared" si="17"/>
        <v>0.59502125075895573</v>
      </c>
      <c r="BD21" s="144">
        <f t="shared" si="18"/>
        <v>0.26775956284153007</v>
      </c>
      <c r="BE21" s="78"/>
      <c r="BF21" s="78"/>
    </row>
    <row r="22" spans="2:58">
      <c r="B22" s="168" t="s">
        <v>108</v>
      </c>
      <c r="C22" s="170" t="s">
        <v>112</v>
      </c>
      <c r="D22" s="146" t="s">
        <v>107</v>
      </c>
      <c r="E22" s="80" t="s">
        <v>107</v>
      </c>
      <c r="F22" s="139" t="s">
        <v>107</v>
      </c>
      <c r="G22" s="139"/>
      <c r="H22" s="146" t="s">
        <v>101</v>
      </c>
      <c r="I22" s="146" t="s">
        <v>101</v>
      </c>
      <c r="J22" s="80" t="s">
        <v>107</v>
      </c>
      <c r="K22" s="80"/>
      <c r="L22" s="146" t="s">
        <v>101</v>
      </c>
      <c r="M22" s="80"/>
      <c r="N22" s="80"/>
      <c r="O22" s="80"/>
      <c r="P22" s="81">
        <v>0.9</v>
      </c>
      <c r="Q22" s="141">
        <f t="shared" si="6"/>
        <v>1</v>
      </c>
      <c r="R22" s="141">
        <f t="shared" si="7"/>
        <v>1.1111111111111112</v>
      </c>
      <c r="S22" s="141"/>
      <c r="T22" s="142">
        <v>0.56999999999999995</v>
      </c>
      <c r="U22" s="139" t="e">
        <f>VLOOKUP(C22,Sheet2!$B$38:$D$52,Sheet2!$D$37,FALSE)</f>
        <v>#N/A</v>
      </c>
      <c r="V22" s="141" t="e">
        <f t="shared" si="8"/>
        <v>#N/A</v>
      </c>
      <c r="W22" s="141"/>
      <c r="X22" s="147" t="s">
        <v>101</v>
      </c>
      <c r="Y22" s="80"/>
      <c r="Z22" s="80"/>
      <c r="AA22" s="171"/>
      <c r="AB22" s="171"/>
      <c r="AC22" s="171"/>
      <c r="AD22" s="78"/>
      <c r="AE22" s="78"/>
      <c r="AF22" s="78"/>
      <c r="AG22" s="10">
        <v>266933</v>
      </c>
      <c r="AH22" s="157">
        <f>VLOOKUP(C22,WB!$C$99:$U$132,WB!$J$98,FALSE)</f>
        <v>177187</v>
      </c>
      <c r="AI22" s="139">
        <f t="shared" si="34"/>
        <v>0.66378829144392038</v>
      </c>
      <c r="AJ22" s="78"/>
      <c r="AK22" s="143">
        <v>0.59</v>
      </c>
      <c r="AL22" s="160" t="str">
        <f>VLOOKUP(C22,WB!$C$99:$U$132,WB!$K$98,FALSE)</f>
        <v xml:space="preserve"> -   </v>
      </c>
      <c r="AM22" s="139" t="e">
        <f t="shared" si="35"/>
        <v>#VALUE!</v>
      </c>
      <c r="AN22" s="78"/>
      <c r="AO22" s="80" t="s">
        <v>107</v>
      </c>
      <c r="AP22" s="43">
        <f>VLOOKUP(C22,WB!$B$3:$O$35,WB!$O$2,FALSE)</f>
        <v>172</v>
      </c>
      <c r="AQ22" s="138" t="s">
        <v>107</v>
      </c>
      <c r="AR22" s="80" t="s">
        <v>107</v>
      </c>
      <c r="AS22" s="146" t="s">
        <v>101</v>
      </c>
      <c r="AT22" s="146" t="s">
        <v>101</v>
      </c>
      <c r="AU22" s="78"/>
      <c r="AV22" s="78"/>
      <c r="AW22" s="81">
        <v>0.9</v>
      </c>
      <c r="AX22" s="151">
        <f>VLOOKUP(C22,WB!$B$42:$U$71,WB!$I$40,FALSE)</f>
        <v>1</v>
      </c>
      <c r="AY22" s="141">
        <f t="shared" si="20"/>
        <v>1.1111111111111112</v>
      </c>
      <c r="AZ22" s="144">
        <f t="shared" si="16"/>
        <v>0.5</v>
      </c>
      <c r="BA22" s="81">
        <v>0.9</v>
      </c>
      <c r="BB22" s="151">
        <f>VLOOKUP(C22,WB!$B$42:$U$71,WB!$H$40,FALSE)</f>
        <v>1</v>
      </c>
      <c r="BC22" s="141">
        <f t="shared" si="17"/>
        <v>1.1111111111111112</v>
      </c>
      <c r="BD22" s="144">
        <f t="shared" si="18"/>
        <v>0.5</v>
      </c>
      <c r="BE22" s="78"/>
      <c r="BF22" s="78"/>
    </row>
  </sheetData>
  <phoneticPr fontId="5" type="noConversion"/>
  <pageMargins left="0.7" right="0.7" top="0.75" bottom="0.75" header="0.3" footer="0.3"/>
  <ignoredErrors>
    <ignoredError sqref="AP1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5896-2E00-4F2C-A710-3C0ECFDA3A4E}">
  <sheetPr codeName="Hoja3"/>
  <dimension ref="B7:BC25"/>
  <sheetViews>
    <sheetView showGridLines="0" workbookViewId="0">
      <selection activeCell="D8" sqref="D8"/>
    </sheetView>
  </sheetViews>
  <sheetFormatPr baseColWidth="10" defaultColWidth="8.85546875" defaultRowHeight="15"/>
  <cols>
    <col min="1" max="1" width="3.42578125" customWidth="1"/>
    <col min="2" max="2" width="9" customWidth="1"/>
    <col min="3" max="3" width="14" customWidth="1"/>
    <col min="4" max="4" width="15.140625" customWidth="1"/>
    <col min="5" max="5" width="9.5703125" customWidth="1"/>
    <col min="7" max="7" width="9.5703125" customWidth="1"/>
    <col min="8" max="8" width="11.140625" customWidth="1"/>
    <col min="11" max="11" width="9.42578125" customWidth="1"/>
    <col min="12" max="12" width="11.140625" customWidth="1"/>
    <col min="14" max="14" width="17.140625" customWidth="1"/>
    <col min="15" max="16" width="12.140625" customWidth="1"/>
    <col min="17" max="17" width="9.42578125" customWidth="1"/>
    <col min="18" max="18" width="16.85546875" customWidth="1"/>
    <col min="19" max="19" width="9" customWidth="1"/>
    <col min="20" max="20" width="10.5703125" customWidth="1"/>
    <col min="22" max="22" width="14.42578125" customWidth="1"/>
    <col min="23" max="23" width="10.85546875" customWidth="1"/>
    <col min="24" max="24" width="11.5703125" customWidth="1"/>
    <col min="25" max="25" width="10.42578125" customWidth="1"/>
    <col min="26" max="26" width="28.140625" customWidth="1"/>
    <col min="27" max="27" width="18.42578125" customWidth="1"/>
    <col min="28" max="28" width="9.85546875" customWidth="1"/>
    <col min="29" max="29" width="16.85546875" customWidth="1"/>
    <col min="30" max="30" width="11.42578125" customWidth="1"/>
    <col min="31" max="31" width="10.5703125" customWidth="1"/>
    <col min="32" max="32" width="15.42578125" customWidth="1"/>
    <col min="33" max="33" width="12" customWidth="1"/>
    <col min="35" max="35" width="13.140625" customWidth="1"/>
    <col min="36" max="36" width="11.85546875" customWidth="1"/>
    <col min="37" max="37" width="13.5703125" customWidth="1"/>
    <col min="38" max="38" width="10.85546875" customWidth="1"/>
    <col min="39" max="39" width="11.140625" customWidth="1"/>
    <col min="40" max="40" width="15.140625" customWidth="1"/>
    <col min="41" max="41" width="16.85546875" customWidth="1"/>
    <col min="42" max="42" width="14.140625" customWidth="1"/>
    <col min="43" max="43" width="12.140625" customWidth="1"/>
    <col min="44" max="44" width="12" customWidth="1"/>
    <col min="45" max="45" width="10.5703125" customWidth="1"/>
    <col min="47" max="47" width="9.5703125" hidden="1" customWidth="1"/>
    <col min="48" max="48" width="13.5703125" hidden="1" customWidth="1"/>
    <col min="49" max="49" width="15.42578125" hidden="1" customWidth="1"/>
    <col min="50" max="50" width="12.5703125" hidden="1" customWidth="1"/>
    <col min="51" max="51" width="10.42578125" hidden="1" customWidth="1"/>
    <col min="52" max="52" width="11.5703125" hidden="1" customWidth="1"/>
    <col min="53" max="53" width="13.42578125" hidden="1" customWidth="1"/>
    <col min="54" max="54" width="10.5703125" hidden="1" customWidth="1"/>
    <col min="55" max="55" width="16.5703125" customWidth="1"/>
  </cols>
  <sheetData>
    <row r="7" spans="2:55" ht="28.7" customHeight="1"/>
    <row r="8" spans="2:55" ht="17.45" customHeight="1" thickBot="1"/>
    <row r="9" spans="2:55" ht="16.350000000000001" customHeight="1" thickBot="1">
      <c r="F9" s="306" t="s">
        <v>113</v>
      </c>
      <c r="G9" s="307"/>
      <c r="H9" s="307"/>
      <c r="I9" s="307"/>
      <c r="J9" s="307"/>
      <c r="K9" s="307"/>
      <c r="L9" s="307"/>
      <c r="M9" s="307"/>
      <c r="N9" s="307"/>
      <c r="O9" s="307"/>
      <c r="P9" s="307"/>
      <c r="Q9" s="307"/>
      <c r="R9" s="307"/>
      <c r="S9" s="307"/>
      <c r="T9" s="307"/>
      <c r="U9" s="307"/>
      <c r="V9" s="307"/>
      <c r="W9" s="307"/>
      <c r="X9" s="307"/>
      <c r="Y9" s="308"/>
      <c r="Z9" s="309" t="s">
        <v>114</v>
      </c>
      <c r="AA9" s="310"/>
      <c r="AB9" s="310"/>
      <c r="AC9" s="310"/>
      <c r="AD9" s="310"/>
      <c r="AE9" s="310"/>
      <c r="AF9" s="310"/>
      <c r="AG9" s="310"/>
      <c r="AH9" s="311"/>
      <c r="AI9" s="312" t="s">
        <v>115</v>
      </c>
      <c r="AJ9" s="313"/>
      <c r="AK9" s="313"/>
      <c r="AL9" s="313"/>
      <c r="AM9" s="313"/>
      <c r="AN9" s="313"/>
      <c r="AO9" s="313"/>
      <c r="AP9" s="313"/>
      <c r="AQ9" s="313"/>
      <c r="AR9" s="313"/>
      <c r="AS9" s="313"/>
      <c r="AT9" s="314"/>
    </row>
    <row r="10" spans="2:55" ht="30.75" thickBot="1">
      <c r="B10" s="225" t="s">
        <v>32</v>
      </c>
      <c r="C10" s="226" t="s">
        <v>116</v>
      </c>
      <c r="D10" s="226" t="s">
        <v>117</v>
      </c>
      <c r="E10" s="227" t="s">
        <v>33</v>
      </c>
      <c r="F10" s="245" t="s">
        <v>6</v>
      </c>
      <c r="G10" s="246" t="s">
        <v>34</v>
      </c>
      <c r="H10" s="246" t="s">
        <v>35</v>
      </c>
      <c r="I10" s="246" t="s">
        <v>36</v>
      </c>
      <c r="J10" s="246" t="s">
        <v>7</v>
      </c>
      <c r="K10" s="246" t="s">
        <v>37</v>
      </c>
      <c r="L10" s="246" t="s">
        <v>38</v>
      </c>
      <c r="M10" s="246" t="s">
        <v>39</v>
      </c>
      <c r="N10" s="247" t="s">
        <v>40</v>
      </c>
      <c r="O10" s="246" t="s">
        <v>41</v>
      </c>
      <c r="P10" s="246" t="s">
        <v>42</v>
      </c>
      <c r="Q10" s="246" t="s">
        <v>43</v>
      </c>
      <c r="R10" s="247" t="s">
        <v>44</v>
      </c>
      <c r="S10" s="246" t="s">
        <v>45</v>
      </c>
      <c r="T10" s="246" t="s">
        <v>46</v>
      </c>
      <c r="U10" s="246" t="s">
        <v>47</v>
      </c>
      <c r="V10" s="247" t="s">
        <v>48</v>
      </c>
      <c r="W10" s="246" t="s">
        <v>49</v>
      </c>
      <c r="X10" s="246" t="s">
        <v>50</v>
      </c>
      <c r="Y10" s="248" t="s">
        <v>51</v>
      </c>
      <c r="Z10" s="252" t="s">
        <v>52</v>
      </c>
      <c r="AA10" s="253" t="s">
        <v>53</v>
      </c>
      <c r="AB10" s="253" t="s">
        <v>54</v>
      </c>
      <c r="AC10" s="254" t="s">
        <v>55</v>
      </c>
      <c r="AD10" s="253" t="s">
        <v>56</v>
      </c>
      <c r="AE10" s="253" t="s">
        <v>57</v>
      </c>
      <c r="AF10" s="253" t="s">
        <v>21</v>
      </c>
      <c r="AG10" s="253" t="s">
        <v>58</v>
      </c>
      <c r="AH10" s="255" t="s">
        <v>59</v>
      </c>
      <c r="AI10" s="249" t="s">
        <v>60</v>
      </c>
      <c r="AJ10" s="250" t="s">
        <v>61</v>
      </c>
      <c r="AK10" s="250" t="s">
        <v>62</v>
      </c>
      <c r="AL10" s="250" t="s">
        <v>63</v>
      </c>
      <c r="AM10" s="250" t="s">
        <v>26</v>
      </c>
      <c r="AN10" s="250" t="s">
        <v>64</v>
      </c>
      <c r="AO10" s="250" t="s">
        <v>65</v>
      </c>
      <c r="AP10" s="250" t="s">
        <v>66</v>
      </c>
      <c r="AQ10" s="250" t="s">
        <v>67</v>
      </c>
      <c r="AR10" s="250" t="s">
        <v>68</v>
      </c>
      <c r="AS10" s="250" t="s">
        <v>69</v>
      </c>
      <c r="AT10" s="251" t="s">
        <v>70</v>
      </c>
      <c r="AU10" s="215" t="s">
        <v>9</v>
      </c>
      <c r="AV10" s="148" t="s">
        <v>75</v>
      </c>
      <c r="AW10" s="148" t="s">
        <v>76</v>
      </c>
      <c r="AX10" s="148" t="s">
        <v>77</v>
      </c>
      <c r="AY10" s="148" t="s">
        <v>11</v>
      </c>
      <c r="AZ10" s="148" t="s">
        <v>78</v>
      </c>
      <c r="BA10" s="148" t="s">
        <v>79</v>
      </c>
      <c r="BB10" s="216" t="s">
        <v>80</v>
      </c>
      <c r="BC10" s="237" t="s">
        <v>81</v>
      </c>
    </row>
    <row r="11" spans="2:55" ht="84" hidden="1">
      <c r="B11" s="228" t="s">
        <v>82</v>
      </c>
      <c r="C11" s="80" t="s">
        <v>118</v>
      </c>
      <c r="D11" s="80" t="s">
        <v>119</v>
      </c>
      <c r="E11" s="221" t="s">
        <v>83</v>
      </c>
      <c r="F11" s="223">
        <v>0.78</v>
      </c>
      <c r="G11" s="86">
        <v>0.78400000000000003</v>
      </c>
      <c r="H11" s="86">
        <v>1.0051282051282051</v>
      </c>
      <c r="I11" s="86">
        <v>0.06</v>
      </c>
      <c r="J11" s="86">
        <v>0.92</v>
      </c>
      <c r="K11" s="86">
        <v>0.95699999999999996</v>
      </c>
      <c r="L11" s="86">
        <v>1.0402173913043478</v>
      </c>
      <c r="M11" s="86">
        <v>0.06</v>
      </c>
      <c r="N11" s="147" t="s">
        <v>84</v>
      </c>
      <c r="O11" s="80" t="s">
        <v>85</v>
      </c>
      <c r="P11" s="89">
        <v>0.1</v>
      </c>
      <c r="Q11" s="89">
        <v>5.000000000000001E-3</v>
      </c>
      <c r="R11" s="89">
        <v>0.9</v>
      </c>
      <c r="S11" s="89">
        <v>0.8703149001536099</v>
      </c>
      <c r="T11" s="89">
        <v>0.96701655572623324</v>
      </c>
      <c r="U11" s="89">
        <v>3.8680662229049333E-2</v>
      </c>
      <c r="V11" s="89">
        <v>0.69</v>
      </c>
      <c r="W11" s="86">
        <v>0.58911429088933165</v>
      </c>
      <c r="X11" s="86">
        <v>0.85378882737584305</v>
      </c>
      <c r="Y11" s="125">
        <v>3.4151553095033725E-2</v>
      </c>
      <c r="Z11" s="210" t="s">
        <v>86</v>
      </c>
      <c r="AA11" s="89">
        <v>0.4</v>
      </c>
      <c r="AB11" s="89">
        <v>2.0000000000000004E-2</v>
      </c>
      <c r="AC11" s="80" t="s">
        <v>87</v>
      </c>
      <c r="AD11" s="89">
        <v>0.25</v>
      </c>
      <c r="AE11" s="89">
        <v>7.4999999999999997E-3</v>
      </c>
      <c r="AF11" s="80" t="s">
        <v>87</v>
      </c>
      <c r="AG11" s="89">
        <v>0.5</v>
      </c>
      <c r="AH11" s="102">
        <v>3.5000000000000003E-2</v>
      </c>
      <c r="AI11" s="176">
        <v>22300000</v>
      </c>
      <c r="AJ11" s="80">
        <v>6737647</v>
      </c>
      <c r="AK11" s="86">
        <v>0.30213663677130043</v>
      </c>
      <c r="AL11" s="86">
        <v>6.0427327354260089E-2</v>
      </c>
      <c r="AM11" s="80">
        <v>1</v>
      </c>
      <c r="AN11" s="80">
        <v>1.04</v>
      </c>
      <c r="AO11" s="86">
        <v>1.04</v>
      </c>
      <c r="AP11" s="86">
        <v>0.1</v>
      </c>
      <c r="AQ11" s="80">
        <v>13201</v>
      </c>
      <c r="AR11" s="80">
        <v>5300</v>
      </c>
      <c r="AS11" s="86">
        <v>0.40148473600484813</v>
      </c>
      <c r="AT11" s="125">
        <v>0.12044542080145443</v>
      </c>
      <c r="AU11" s="199">
        <v>0.9</v>
      </c>
      <c r="AV11" s="89">
        <v>0.9953146531924667</v>
      </c>
      <c r="AW11" s="89">
        <v>1.1059051702138518</v>
      </c>
      <c r="AX11" s="86">
        <v>0.45</v>
      </c>
      <c r="AY11" s="89">
        <v>0.9</v>
      </c>
      <c r="AZ11" s="89">
        <v>0.84062980030721968</v>
      </c>
      <c r="BA11" s="89">
        <v>0.93403311145246626</v>
      </c>
      <c r="BB11" s="86">
        <v>0.42031490015360984</v>
      </c>
      <c r="BC11" s="238">
        <v>0.54120496347979752</v>
      </c>
    </row>
    <row r="12" spans="2:55" ht="84.75" hidden="1" thickBot="1">
      <c r="B12" s="228" t="s">
        <v>82</v>
      </c>
      <c r="C12" s="80" t="s">
        <v>120</v>
      </c>
      <c r="D12" s="80" t="s">
        <v>121</v>
      </c>
      <c r="E12" s="221" t="s">
        <v>89</v>
      </c>
      <c r="F12" s="223">
        <v>0.82</v>
      </c>
      <c r="G12" s="86">
        <v>0.83799999999999997</v>
      </c>
      <c r="H12" s="86">
        <v>1.0219512195121951</v>
      </c>
      <c r="I12" s="86">
        <v>0.06</v>
      </c>
      <c r="J12" s="86">
        <v>0.91</v>
      </c>
      <c r="K12" s="86">
        <v>0.91800000000000004</v>
      </c>
      <c r="L12" s="86">
        <v>1.0087912087912088</v>
      </c>
      <c r="M12" s="86">
        <v>0.06</v>
      </c>
      <c r="N12" s="147" t="s">
        <v>84</v>
      </c>
      <c r="O12" s="80" t="s">
        <v>90</v>
      </c>
      <c r="P12" s="89">
        <v>0</v>
      </c>
      <c r="Q12" s="89">
        <v>0</v>
      </c>
      <c r="R12" s="89">
        <v>0.9</v>
      </c>
      <c r="S12" s="89">
        <v>0</v>
      </c>
      <c r="T12" s="89">
        <v>0</v>
      </c>
      <c r="U12" s="89">
        <v>0</v>
      </c>
      <c r="V12" s="89">
        <v>0.5</v>
      </c>
      <c r="W12" s="86">
        <v>0.37859054415700266</v>
      </c>
      <c r="X12" s="86">
        <v>0.75718108831400532</v>
      </c>
      <c r="Y12" s="125">
        <v>3.0287243532560213E-2</v>
      </c>
      <c r="Z12" s="210" t="s">
        <v>86</v>
      </c>
      <c r="AA12" s="89">
        <v>0.30000000000000004</v>
      </c>
      <c r="AB12" s="89">
        <v>1.5000000000000003E-2</v>
      </c>
      <c r="AC12" s="80" t="s">
        <v>87</v>
      </c>
      <c r="AD12" s="89">
        <v>0.25</v>
      </c>
      <c r="AE12" s="89">
        <v>7.4999999999999997E-3</v>
      </c>
      <c r="AF12" s="80" t="s">
        <v>87</v>
      </c>
      <c r="AG12" s="89">
        <v>0.5</v>
      </c>
      <c r="AH12" s="102">
        <v>3.5000000000000003E-2</v>
      </c>
      <c r="AI12" s="176">
        <v>3200000</v>
      </c>
      <c r="AJ12" s="80">
        <v>975247</v>
      </c>
      <c r="AK12" s="86">
        <v>0.30476468750000002</v>
      </c>
      <c r="AL12" s="86">
        <v>6.0952937500000005E-2</v>
      </c>
      <c r="AM12" s="80">
        <v>0.86</v>
      </c>
      <c r="AN12" s="80">
        <v>0.86</v>
      </c>
      <c r="AO12" s="86">
        <v>1</v>
      </c>
      <c r="AP12" s="86">
        <v>0.1</v>
      </c>
      <c r="AQ12" s="80">
        <v>6363</v>
      </c>
      <c r="AR12" s="80">
        <v>2909</v>
      </c>
      <c r="AS12" s="86">
        <v>0.4571742888574572</v>
      </c>
      <c r="AT12" s="125">
        <v>0.13715228665723717</v>
      </c>
      <c r="AU12" s="199">
        <v>0.9</v>
      </c>
      <c r="AV12" s="89">
        <v>0</v>
      </c>
      <c r="AW12" s="89">
        <v>0</v>
      </c>
      <c r="AX12" s="86">
        <v>0</v>
      </c>
      <c r="AY12" s="89">
        <v>0.9</v>
      </c>
      <c r="AZ12" s="89">
        <v>0</v>
      </c>
      <c r="BA12" s="89">
        <v>0</v>
      </c>
      <c r="BB12" s="218">
        <v>0</v>
      </c>
      <c r="BC12" s="239">
        <v>0.50589246768979734</v>
      </c>
    </row>
    <row r="13" spans="2:55" ht="84" hidden="1">
      <c r="B13" s="228" t="s">
        <v>82</v>
      </c>
      <c r="C13" s="80" t="s">
        <v>118</v>
      </c>
      <c r="D13" s="80" t="s">
        <v>121</v>
      </c>
      <c r="E13" s="221" t="s">
        <v>91</v>
      </c>
      <c r="F13" s="223">
        <v>0.92</v>
      </c>
      <c r="G13" s="86">
        <v>0.95099999999999996</v>
      </c>
      <c r="H13" s="86">
        <v>1.0336956521739129</v>
      </c>
      <c r="I13" s="86">
        <v>0.06</v>
      </c>
      <c r="J13" s="86">
        <v>0.92</v>
      </c>
      <c r="K13" s="86">
        <v>0.93500000000000005</v>
      </c>
      <c r="L13" s="86">
        <v>1.0163043478260869</v>
      </c>
      <c r="M13" s="86">
        <v>0.06</v>
      </c>
      <c r="N13" s="147" t="s">
        <v>84</v>
      </c>
      <c r="O13" s="80" t="s">
        <v>85</v>
      </c>
      <c r="P13" s="89">
        <v>0.1</v>
      </c>
      <c r="Q13" s="89">
        <v>5.000000000000001E-3</v>
      </c>
      <c r="R13" s="89">
        <v>0.9</v>
      </c>
      <c r="S13" s="89">
        <v>1</v>
      </c>
      <c r="T13" s="89">
        <v>1.1111111111111112</v>
      </c>
      <c r="U13" s="89">
        <v>0.04</v>
      </c>
      <c r="V13" s="89">
        <v>0.56000000000000005</v>
      </c>
      <c r="W13" s="86">
        <v>0.51374465485644472</v>
      </c>
      <c r="X13" s="86">
        <v>0.91740116938650829</v>
      </c>
      <c r="Y13" s="125">
        <v>3.6696046775460331E-2</v>
      </c>
      <c r="Z13" s="210" t="s">
        <v>86</v>
      </c>
      <c r="AA13" s="89">
        <v>0.30000000000000004</v>
      </c>
      <c r="AB13" s="89">
        <v>1.5000000000000003E-2</v>
      </c>
      <c r="AC13" s="80" t="s">
        <v>87</v>
      </c>
      <c r="AD13" s="89">
        <v>0.25</v>
      </c>
      <c r="AE13" s="89">
        <v>7.4999999999999997E-3</v>
      </c>
      <c r="AF13" s="80" t="s">
        <v>87</v>
      </c>
      <c r="AG13" s="89">
        <v>0.5</v>
      </c>
      <c r="AH13" s="102">
        <v>3.5000000000000003E-2</v>
      </c>
      <c r="AI13" s="176">
        <v>6300000</v>
      </c>
      <c r="AJ13" s="80">
        <v>3008469</v>
      </c>
      <c r="AK13" s="86">
        <v>0.47753476190476191</v>
      </c>
      <c r="AL13" s="86">
        <v>9.5506952380952387E-2</v>
      </c>
      <c r="AM13" s="80">
        <v>1.32</v>
      </c>
      <c r="AN13" s="80">
        <v>1.33</v>
      </c>
      <c r="AO13" s="86">
        <v>1.0075757575757576</v>
      </c>
      <c r="AP13" s="86">
        <v>0.1</v>
      </c>
      <c r="AQ13" s="80">
        <v>7091</v>
      </c>
      <c r="AR13" s="80">
        <v>3053</v>
      </c>
      <c r="AS13" s="86">
        <v>0.43054576223381752</v>
      </c>
      <c r="AT13" s="125">
        <v>0.12916372867014525</v>
      </c>
      <c r="AU13" s="199">
        <v>0.9</v>
      </c>
      <c r="AV13" s="89">
        <v>1</v>
      </c>
      <c r="AW13" s="89">
        <v>1.1111111111111112</v>
      </c>
      <c r="AX13" s="86">
        <v>0.5</v>
      </c>
      <c r="AY13" s="89">
        <v>0.9</v>
      </c>
      <c r="AZ13" s="89">
        <v>1</v>
      </c>
      <c r="BA13" s="89">
        <v>1.1111111111111112</v>
      </c>
      <c r="BB13" s="86">
        <v>0.5</v>
      </c>
      <c r="BC13" s="240">
        <v>0.58386672782655791</v>
      </c>
    </row>
    <row r="14" spans="2:55" ht="84" hidden="1">
      <c r="B14" s="228" t="s">
        <v>82</v>
      </c>
      <c r="C14" s="80" t="s">
        <v>122</v>
      </c>
      <c r="D14" s="80" t="s">
        <v>123</v>
      </c>
      <c r="E14" s="221" t="s">
        <v>92</v>
      </c>
      <c r="F14" s="223">
        <v>0.85</v>
      </c>
      <c r="G14" s="86">
        <v>0.86799999999999999</v>
      </c>
      <c r="H14" s="86">
        <v>1.0211764705882354</v>
      </c>
      <c r="I14" s="86">
        <v>0.06</v>
      </c>
      <c r="J14" s="86">
        <v>0.94</v>
      </c>
      <c r="K14" s="86">
        <v>0.98199999999999998</v>
      </c>
      <c r="L14" s="86">
        <v>1.0446808510638299</v>
      </c>
      <c r="M14" s="86">
        <v>0.06</v>
      </c>
      <c r="N14" s="147" t="s">
        <v>93</v>
      </c>
      <c r="O14" s="80" t="s">
        <v>85</v>
      </c>
      <c r="P14" s="89">
        <v>0.1</v>
      </c>
      <c r="Q14" s="89">
        <v>5.000000000000001E-3</v>
      </c>
      <c r="R14" s="89">
        <v>0.9</v>
      </c>
      <c r="S14" s="89">
        <v>0.95741209394499349</v>
      </c>
      <c r="T14" s="89">
        <v>1.0637912154944371</v>
      </c>
      <c r="U14" s="89">
        <v>0.04</v>
      </c>
      <c r="V14" s="89">
        <v>0.55000000000000004</v>
      </c>
      <c r="W14" s="86">
        <v>0.62640586797066011</v>
      </c>
      <c r="X14" s="86">
        <v>1.1389197599466547</v>
      </c>
      <c r="Y14" s="125">
        <v>0.04</v>
      </c>
      <c r="Z14" s="210" t="s">
        <v>86</v>
      </c>
      <c r="AA14" s="89">
        <v>0.4</v>
      </c>
      <c r="AB14" s="89">
        <v>2.0000000000000004E-2</v>
      </c>
      <c r="AC14" s="80" t="s">
        <v>87</v>
      </c>
      <c r="AD14" s="89">
        <v>0.25</v>
      </c>
      <c r="AE14" s="89">
        <v>7.4999999999999997E-3</v>
      </c>
      <c r="AF14" s="80" t="s">
        <v>87</v>
      </c>
      <c r="AG14" s="89">
        <v>0.5</v>
      </c>
      <c r="AH14" s="102">
        <v>3.5000000000000003E-2</v>
      </c>
      <c r="AI14" s="176">
        <v>4600000</v>
      </c>
      <c r="AJ14" s="80">
        <v>1548634</v>
      </c>
      <c r="AK14" s="86">
        <v>0.33665956521739132</v>
      </c>
      <c r="AL14" s="86">
        <v>6.733191304347827E-2</v>
      </c>
      <c r="AM14" s="80">
        <v>1.04</v>
      </c>
      <c r="AN14" s="80">
        <v>1.04</v>
      </c>
      <c r="AO14" s="86">
        <v>1</v>
      </c>
      <c r="AP14" s="86">
        <v>0.1</v>
      </c>
      <c r="AQ14" s="80">
        <v>1750</v>
      </c>
      <c r="AR14" s="80">
        <v>669</v>
      </c>
      <c r="AS14" s="86">
        <v>0.38228571428571428</v>
      </c>
      <c r="AT14" s="125">
        <v>0.11468571428571428</v>
      </c>
      <c r="AU14" s="199">
        <v>0.9</v>
      </c>
      <c r="AV14" s="89">
        <v>0.95864197530864192</v>
      </c>
      <c r="AW14" s="89">
        <v>1.0651577503429355</v>
      </c>
      <c r="AX14" s="86">
        <v>0.47932098765432096</v>
      </c>
      <c r="AY14" s="89">
        <v>0.9</v>
      </c>
      <c r="AZ14" s="89">
        <v>0.95618221258134495</v>
      </c>
      <c r="BA14" s="89">
        <v>1.0624246806459388</v>
      </c>
      <c r="BB14" s="86">
        <v>0.47809110629067247</v>
      </c>
      <c r="BC14" s="241">
        <v>0.54951762732919252</v>
      </c>
    </row>
    <row r="15" spans="2:55" ht="84" hidden="1">
      <c r="B15" s="228" t="s">
        <v>82</v>
      </c>
      <c r="C15" s="80" t="s">
        <v>122</v>
      </c>
      <c r="D15" s="80" t="s">
        <v>124</v>
      </c>
      <c r="E15" s="221" t="s">
        <v>0</v>
      </c>
      <c r="F15" s="223">
        <v>0.86</v>
      </c>
      <c r="G15" s="86">
        <v>0.879</v>
      </c>
      <c r="H15" s="86">
        <v>1.0220930232558141</v>
      </c>
      <c r="I15" s="86">
        <v>0.06</v>
      </c>
      <c r="J15" s="86">
        <v>0.9</v>
      </c>
      <c r="K15" s="86">
        <v>0.97599999999999998</v>
      </c>
      <c r="L15" s="86">
        <v>1.0844444444444443</v>
      </c>
      <c r="M15" s="86">
        <v>0.06</v>
      </c>
      <c r="N15" s="147" t="s">
        <v>84</v>
      </c>
      <c r="O15" s="80" t="s">
        <v>85</v>
      </c>
      <c r="P15" s="89">
        <v>0.1</v>
      </c>
      <c r="Q15" s="89">
        <v>5.000000000000001E-3</v>
      </c>
      <c r="R15" s="89">
        <v>0.9</v>
      </c>
      <c r="S15" s="89">
        <v>1</v>
      </c>
      <c r="T15" s="89">
        <v>1.1111111111111112</v>
      </c>
      <c r="U15" s="89">
        <v>0.04</v>
      </c>
      <c r="V15" s="89">
        <v>0.66</v>
      </c>
      <c r="W15" s="86">
        <v>0.68874868559411151</v>
      </c>
      <c r="X15" s="86">
        <v>1.0435586145365325</v>
      </c>
      <c r="Y15" s="125">
        <v>0.04</v>
      </c>
      <c r="Z15" s="210" t="s">
        <v>86</v>
      </c>
      <c r="AA15" s="89">
        <v>0.4</v>
      </c>
      <c r="AB15" s="89">
        <v>2.0000000000000004E-2</v>
      </c>
      <c r="AC15" s="80" t="s">
        <v>87</v>
      </c>
      <c r="AD15" s="89">
        <v>0.25</v>
      </c>
      <c r="AE15" s="89">
        <v>7.4999999999999997E-3</v>
      </c>
      <c r="AF15" s="80" t="s">
        <v>87</v>
      </c>
      <c r="AG15" s="89">
        <v>0.5</v>
      </c>
      <c r="AH15" s="102">
        <v>3.5000000000000003E-2</v>
      </c>
      <c r="AI15" s="176">
        <v>5130381</v>
      </c>
      <c r="AJ15" s="80">
        <v>1426757</v>
      </c>
      <c r="AK15" s="86">
        <v>0.27809961872227423</v>
      </c>
      <c r="AL15" s="86">
        <v>5.5619923744454847E-2</v>
      </c>
      <c r="AM15" s="80">
        <v>0.77</v>
      </c>
      <c r="AN15" s="80">
        <v>0.77</v>
      </c>
      <c r="AO15" s="86">
        <v>1</v>
      </c>
      <c r="AP15" s="86">
        <v>0.1</v>
      </c>
      <c r="AQ15" s="80">
        <v>2600</v>
      </c>
      <c r="AR15" s="80">
        <v>750</v>
      </c>
      <c r="AS15" s="86">
        <v>0.28846153846153844</v>
      </c>
      <c r="AT15" s="125">
        <v>8.6538461538461522E-2</v>
      </c>
      <c r="AU15" s="199">
        <v>0.9</v>
      </c>
      <c r="AV15" s="89">
        <v>1</v>
      </c>
      <c r="AW15" s="89">
        <v>1.1111111111111112</v>
      </c>
      <c r="AX15" s="86">
        <v>0.5</v>
      </c>
      <c r="AY15" s="89">
        <v>0.9</v>
      </c>
      <c r="AZ15" s="89">
        <v>1</v>
      </c>
      <c r="BA15" s="89">
        <v>1.1111111111111112</v>
      </c>
      <c r="BB15" s="86">
        <v>0.5</v>
      </c>
      <c r="BC15" s="242">
        <v>0.50965838528291629</v>
      </c>
    </row>
    <row r="16" spans="2:55" ht="84.75" hidden="1" thickBot="1">
      <c r="B16" s="228" t="s">
        <v>82</v>
      </c>
      <c r="C16" s="80" t="s">
        <v>120</v>
      </c>
      <c r="D16" s="80" t="s">
        <v>123</v>
      </c>
      <c r="E16" s="221" t="s">
        <v>94</v>
      </c>
      <c r="F16" s="223">
        <v>0.94</v>
      </c>
      <c r="G16" s="86">
        <v>0.99299999999999999</v>
      </c>
      <c r="H16" s="86">
        <v>1.0563829787234043</v>
      </c>
      <c r="I16" s="86">
        <v>0.06</v>
      </c>
      <c r="J16" s="86">
        <v>0.95</v>
      </c>
      <c r="K16" s="86">
        <v>0.98599999999999999</v>
      </c>
      <c r="L16" s="86">
        <v>1.0378947368421052</v>
      </c>
      <c r="M16" s="86">
        <v>0.06</v>
      </c>
      <c r="N16" s="147" t="s">
        <v>84</v>
      </c>
      <c r="O16" s="80" t="s">
        <v>85</v>
      </c>
      <c r="P16" s="89">
        <v>0.1</v>
      </c>
      <c r="Q16" s="89">
        <v>5.000000000000001E-3</v>
      </c>
      <c r="R16" s="89">
        <v>0.9</v>
      </c>
      <c r="S16" s="89">
        <v>0.90621692965387579</v>
      </c>
      <c r="T16" s="89">
        <v>1.0069076996154176</v>
      </c>
      <c r="U16" s="89">
        <v>0.04</v>
      </c>
      <c r="V16" s="89">
        <v>0.45</v>
      </c>
      <c r="W16" s="86">
        <v>0.40168442763836371</v>
      </c>
      <c r="X16" s="86">
        <v>0.89263206141858598</v>
      </c>
      <c r="Y16" s="125">
        <v>3.570528245674344E-2</v>
      </c>
      <c r="Z16" s="210" t="s">
        <v>86</v>
      </c>
      <c r="AA16" s="89">
        <v>0.4</v>
      </c>
      <c r="AB16" s="89">
        <v>2.0000000000000004E-2</v>
      </c>
      <c r="AC16" s="80" t="s">
        <v>87</v>
      </c>
      <c r="AD16" s="89">
        <v>0.25</v>
      </c>
      <c r="AE16" s="89">
        <v>7.4999999999999997E-3</v>
      </c>
      <c r="AF16" s="80" t="s">
        <v>87</v>
      </c>
      <c r="AG16" s="89">
        <v>0.5</v>
      </c>
      <c r="AH16" s="102">
        <v>3.5000000000000003E-2</v>
      </c>
      <c r="AI16" s="176">
        <v>2730000</v>
      </c>
      <c r="AJ16" s="80">
        <v>1143779</v>
      </c>
      <c r="AK16" s="86">
        <v>0.41896666666666665</v>
      </c>
      <c r="AL16" s="86">
        <v>8.3793333333333331E-2</v>
      </c>
      <c r="AM16" s="80">
        <v>0.85</v>
      </c>
      <c r="AN16" s="80">
        <v>0.85</v>
      </c>
      <c r="AO16" s="86">
        <v>1</v>
      </c>
      <c r="AP16" s="86">
        <v>0.1</v>
      </c>
      <c r="AQ16" s="80">
        <v>2200</v>
      </c>
      <c r="AR16" s="80">
        <v>618</v>
      </c>
      <c r="AS16" s="86">
        <v>0.28090909090909089</v>
      </c>
      <c r="AT16" s="125">
        <v>8.4272727272727263E-2</v>
      </c>
      <c r="AU16" s="199">
        <v>0.9</v>
      </c>
      <c r="AV16" s="89">
        <v>0.90604575163398693</v>
      </c>
      <c r="AW16" s="89">
        <v>1.006717501815541</v>
      </c>
      <c r="AX16" s="86">
        <v>0.45302287581699346</v>
      </c>
      <c r="AY16" s="89">
        <v>0.9</v>
      </c>
      <c r="AZ16" s="89">
        <v>0.90638810767376454</v>
      </c>
      <c r="BA16" s="89">
        <v>1.007097897415294</v>
      </c>
      <c r="BB16" s="218">
        <v>0.45319405383688233</v>
      </c>
      <c r="BC16" s="239">
        <v>0.53127134306280399</v>
      </c>
    </row>
    <row r="17" spans="2:55" ht="84">
      <c r="B17" s="229" t="s">
        <v>95</v>
      </c>
      <c r="C17" s="80" t="s">
        <v>125</v>
      </c>
      <c r="D17" s="80" t="s">
        <v>124</v>
      </c>
      <c r="E17" s="221" t="s">
        <v>96</v>
      </c>
      <c r="F17" s="223">
        <v>0.7</v>
      </c>
      <c r="G17" s="86">
        <v>0.77700000000000002</v>
      </c>
      <c r="H17" s="86">
        <v>1.1100000000000001</v>
      </c>
      <c r="I17" s="86">
        <v>0.06</v>
      </c>
      <c r="J17" s="86">
        <v>0.83</v>
      </c>
      <c r="K17" s="86">
        <v>0.94499999999999995</v>
      </c>
      <c r="L17" s="86">
        <v>1.1385542168674698</v>
      </c>
      <c r="M17" s="86">
        <v>0.06</v>
      </c>
      <c r="N17" s="147" t="s">
        <v>84</v>
      </c>
      <c r="O17" s="80" t="s">
        <v>85</v>
      </c>
      <c r="P17" s="89">
        <v>0.1</v>
      </c>
      <c r="Q17" s="89">
        <v>5.000000000000001E-3</v>
      </c>
      <c r="R17" s="89">
        <v>0.9</v>
      </c>
      <c r="S17" s="89">
        <v>0.97713830755232034</v>
      </c>
      <c r="T17" s="89">
        <v>1.0857092306136893</v>
      </c>
      <c r="U17" s="89">
        <v>0.04</v>
      </c>
      <c r="V17" s="89">
        <v>0.67</v>
      </c>
      <c r="W17" s="86">
        <v>0.51345755693581785</v>
      </c>
      <c r="X17" s="86">
        <v>0.76635456259077284</v>
      </c>
      <c r="Y17" s="125">
        <v>3.0654182503630913E-2</v>
      </c>
      <c r="Z17" s="210" t="s">
        <v>86</v>
      </c>
      <c r="AA17" s="89">
        <v>0.30000000000000004</v>
      </c>
      <c r="AB17" s="89">
        <v>1.5000000000000003E-2</v>
      </c>
      <c r="AC17" s="80" t="s">
        <v>87</v>
      </c>
      <c r="AD17" s="89">
        <v>0.25</v>
      </c>
      <c r="AE17" s="89">
        <v>7.4999999999999997E-3</v>
      </c>
      <c r="AF17" s="80" t="s">
        <v>87</v>
      </c>
      <c r="AG17" s="89">
        <v>0.5</v>
      </c>
      <c r="AH17" s="102">
        <v>3.5000000000000003E-2</v>
      </c>
      <c r="AI17" s="176">
        <v>2582000</v>
      </c>
      <c r="AJ17" s="80">
        <v>1000559</v>
      </c>
      <c r="AK17" s="86">
        <v>0.38751316808675446</v>
      </c>
      <c r="AL17" s="86">
        <v>7.7502633617350894E-2</v>
      </c>
      <c r="AM17" s="80">
        <v>1.02</v>
      </c>
      <c r="AN17" s="80">
        <v>0.93</v>
      </c>
      <c r="AO17" s="86">
        <v>0.91176470588235292</v>
      </c>
      <c r="AP17" s="86">
        <v>9.1176470588235303E-2</v>
      </c>
      <c r="AQ17" s="80">
        <v>2436</v>
      </c>
      <c r="AR17" s="80">
        <v>847</v>
      </c>
      <c r="AS17" s="86">
        <v>0.34770114942528735</v>
      </c>
      <c r="AT17" s="125">
        <v>0.10431034482758621</v>
      </c>
      <c r="AU17" s="199">
        <v>0.9</v>
      </c>
      <c r="AV17" s="89">
        <v>0.9642857142857143</v>
      </c>
      <c r="AW17" s="89">
        <v>1.0714285714285714</v>
      </c>
      <c r="AX17" s="86">
        <v>0.48214285714285715</v>
      </c>
      <c r="AY17" s="89">
        <v>0.9</v>
      </c>
      <c r="AZ17" s="89">
        <v>0.98999090081892627</v>
      </c>
      <c r="BA17" s="89">
        <v>1.099989889798807</v>
      </c>
      <c r="BB17" s="86">
        <v>0.49499545040946313</v>
      </c>
      <c r="BC17" s="240">
        <v>0.52614363153680321</v>
      </c>
    </row>
    <row r="18" spans="2:55" ht="84">
      <c r="B18" s="229" t="s">
        <v>95</v>
      </c>
      <c r="C18" s="80" t="s">
        <v>125</v>
      </c>
      <c r="D18" s="80" t="s">
        <v>124</v>
      </c>
      <c r="E18" s="221" t="s">
        <v>97</v>
      </c>
      <c r="F18" s="223">
        <v>0.7</v>
      </c>
      <c r="G18" s="86">
        <v>0.64300000000000002</v>
      </c>
      <c r="H18" s="86">
        <v>0.91857142857142871</v>
      </c>
      <c r="I18" s="86">
        <v>5.511428571428572E-2</v>
      </c>
      <c r="J18" s="86">
        <v>0.83</v>
      </c>
      <c r="K18" s="86">
        <v>1</v>
      </c>
      <c r="L18" s="86">
        <v>1.2048192771084338</v>
      </c>
      <c r="M18" s="86">
        <v>0.06</v>
      </c>
      <c r="N18" s="147" t="s">
        <v>84</v>
      </c>
      <c r="O18" s="80" t="s">
        <v>85</v>
      </c>
      <c r="P18" s="89">
        <v>0.1</v>
      </c>
      <c r="Q18" s="89">
        <v>5.000000000000001E-3</v>
      </c>
      <c r="R18" s="89">
        <v>0.9</v>
      </c>
      <c r="S18" s="89">
        <v>0.98887122416534168</v>
      </c>
      <c r="T18" s="89">
        <v>1.0987458046281573</v>
      </c>
      <c r="U18" s="89">
        <v>0.04</v>
      </c>
      <c r="V18" s="89">
        <v>0.62</v>
      </c>
      <c r="W18" s="86">
        <v>0.45633187772925765</v>
      </c>
      <c r="X18" s="86">
        <v>0.73601915762783487</v>
      </c>
      <c r="Y18" s="125">
        <v>2.9440766305113397E-2</v>
      </c>
      <c r="Z18" s="210" t="s">
        <v>86</v>
      </c>
      <c r="AA18" s="89">
        <v>0.30000000000000004</v>
      </c>
      <c r="AB18" s="89">
        <v>1.5000000000000003E-2</v>
      </c>
      <c r="AC18" s="80" t="s">
        <v>87</v>
      </c>
      <c r="AD18" s="89">
        <v>0.25</v>
      </c>
      <c r="AE18" s="89">
        <v>7.4999999999999997E-3</v>
      </c>
      <c r="AF18" s="80" t="s">
        <v>87</v>
      </c>
      <c r="AG18" s="89">
        <v>0.5</v>
      </c>
      <c r="AH18" s="102">
        <v>3.5000000000000003E-2</v>
      </c>
      <c r="AI18" s="176">
        <v>2642000</v>
      </c>
      <c r="AJ18" s="80">
        <v>1184707</v>
      </c>
      <c r="AK18" s="86">
        <v>0.4484129447388342</v>
      </c>
      <c r="AL18" s="86">
        <v>8.9682588947766845E-2</v>
      </c>
      <c r="AM18" s="80">
        <v>1.17</v>
      </c>
      <c r="AN18" s="80">
        <v>1.2</v>
      </c>
      <c r="AO18" s="86">
        <v>1.0256410256410258</v>
      </c>
      <c r="AP18" s="86">
        <v>0.1</v>
      </c>
      <c r="AQ18" s="80">
        <v>2620</v>
      </c>
      <c r="AR18" s="80">
        <v>975</v>
      </c>
      <c r="AS18" s="86">
        <v>0.37213740458015265</v>
      </c>
      <c r="AT18" s="125">
        <v>0.11164122137404579</v>
      </c>
      <c r="AU18" s="199">
        <v>0.9</v>
      </c>
      <c r="AV18" s="89">
        <v>1</v>
      </c>
      <c r="AW18" s="89">
        <v>1.1111111111111112</v>
      </c>
      <c r="AX18" s="86">
        <v>0.5</v>
      </c>
      <c r="AY18" s="89">
        <v>0.9</v>
      </c>
      <c r="AZ18" s="89">
        <v>0.97774244833068358</v>
      </c>
      <c r="BA18" s="89">
        <v>1.0863804981452039</v>
      </c>
      <c r="BB18" s="86">
        <v>0.48887122416534173</v>
      </c>
      <c r="BC18" s="241">
        <v>0.54837886234121169</v>
      </c>
    </row>
    <row r="19" spans="2:55" ht="84">
      <c r="B19" s="229" t="s">
        <v>95</v>
      </c>
      <c r="C19" s="80" t="s">
        <v>125</v>
      </c>
      <c r="D19" s="80" t="s">
        <v>124</v>
      </c>
      <c r="E19" s="221" t="s">
        <v>98</v>
      </c>
      <c r="F19" s="223">
        <v>0.7</v>
      </c>
      <c r="G19" s="86">
        <v>0.6</v>
      </c>
      <c r="H19" s="86">
        <v>0.85714285714285721</v>
      </c>
      <c r="I19" s="86">
        <v>5.1428571428571428E-2</v>
      </c>
      <c r="J19" s="86">
        <v>0.83</v>
      </c>
      <c r="K19" s="86">
        <v>0.91800000000000004</v>
      </c>
      <c r="L19" s="86">
        <v>1.1060240963855423</v>
      </c>
      <c r="M19" s="86">
        <v>0.06</v>
      </c>
      <c r="N19" s="147" t="s">
        <v>84</v>
      </c>
      <c r="O19" s="80" t="s">
        <v>85</v>
      </c>
      <c r="P19" s="89">
        <v>0.1</v>
      </c>
      <c r="Q19" s="89">
        <v>5.000000000000001E-3</v>
      </c>
      <c r="R19" s="89">
        <v>0.9</v>
      </c>
      <c r="S19" s="89">
        <v>0.96445497630331756</v>
      </c>
      <c r="T19" s="89">
        <v>1.0716166403370195</v>
      </c>
      <c r="U19" s="89">
        <v>0.04</v>
      </c>
      <c r="V19" s="89">
        <v>0.75</v>
      </c>
      <c r="W19" s="86">
        <v>0.48019801980198018</v>
      </c>
      <c r="X19" s="86">
        <v>0.64026402640264024</v>
      </c>
      <c r="Y19" s="125">
        <v>2.561056105610561E-2</v>
      </c>
      <c r="Z19" s="210" t="s">
        <v>86</v>
      </c>
      <c r="AA19" s="89">
        <v>0.30000000000000004</v>
      </c>
      <c r="AB19" s="89">
        <v>1.5000000000000003E-2</v>
      </c>
      <c r="AC19" s="80" t="s">
        <v>87</v>
      </c>
      <c r="AD19" s="89">
        <v>0.25</v>
      </c>
      <c r="AE19" s="89">
        <v>7.4999999999999997E-3</v>
      </c>
      <c r="AF19" s="80" t="s">
        <v>87</v>
      </c>
      <c r="AG19" s="89">
        <v>0.5</v>
      </c>
      <c r="AH19" s="102">
        <v>3.5000000000000003E-2</v>
      </c>
      <c r="AI19" s="176">
        <v>1142000</v>
      </c>
      <c r="AJ19" s="80">
        <v>424289</v>
      </c>
      <c r="AK19" s="86">
        <v>0.37153152364273206</v>
      </c>
      <c r="AL19" s="86">
        <v>7.4306304728546421E-2</v>
      </c>
      <c r="AM19" s="80">
        <v>0.9</v>
      </c>
      <c r="AN19" s="80">
        <v>1.04</v>
      </c>
      <c r="AO19" s="86">
        <v>1.1555555555555557</v>
      </c>
      <c r="AP19" s="86">
        <v>0.1</v>
      </c>
      <c r="AQ19" s="80">
        <v>1326</v>
      </c>
      <c r="AR19" s="80">
        <v>485</v>
      </c>
      <c r="AS19" s="86">
        <v>0.36576168929110103</v>
      </c>
      <c r="AT19" s="125">
        <v>0.1097285067873303</v>
      </c>
      <c r="AU19" s="199">
        <v>0.9</v>
      </c>
      <c r="AV19" s="89">
        <v>1</v>
      </c>
      <c r="AW19" s="89">
        <v>1.1111111111111112</v>
      </c>
      <c r="AX19" s="86">
        <v>0.5</v>
      </c>
      <c r="AY19" s="89">
        <v>0.9</v>
      </c>
      <c r="AZ19" s="89">
        <v>0.92890995260663511</v>
      </c>
      <c r="BA19" s="89">
        <v>1.0321221695629279</v>
      </c>
      <c r="BB19" s="86">
        <v>0.46445497630331756</v>
      </c>
      <c r="BC19" s="242">
        <v>0.52357394400055368</v>
      </c>
    </row>
    <row r="20" spans="2:55" ht="84.75" hidden="1" thickBot="1">
      <c r="B20" s="229" t="s">
        <v>95</v>
      </c>
      <c r="C20" s="80" t="s">
        <v>120</v>
      </c>
      <c r="D20" s="80" t="s">
        <v>121</v>
      </c>
      <c r="E20" s="221" t="s">
        <v>99</v>
      </c>
      <c r="F20" s="223">
        <v>0.7</v>
      </c>
      <c r="G20" s="86">
        <v>0.79</v>
      </c>
      <c r="H20" s="86">
        <v>1.1285714285714288</v>
      </c>
      <c r="I20" s="86">
        <v>0.06</v>
      </c>
      <c r="J20" s="86">
        <v>0.88</v>
      </c>
      <c r="K20" s="86">
        <v>0.96299999999999997</v>
      </c>
      <c r="L20" s="86">
        <v>1.0943181818181817</v>
      </c>
      <c r="M20" s="86">
        <v>0.06</v>
      </c>
      <c r="N20" s="147" t="s">
        <v>84</v>
      </c>
      <c r="O20" s="80" t="s">
        <v>85</v>
      </c>
      <c r="P20" s="89">
        <v>0.1</v>
      </c>
      <c r="Q20" s="89">
        <v>5.000000000000001E-3</v>
      </c>
      <c r="R20" s="89">
        <v>0.9</v>
      </c>
      <c r="S20" s="89">
        <v>1</v>
      </c>
      <c r="T20" s="89">
        <v>1.1111111111111112</v>
      </c>
      <c r="U20" s="89">
        <v>0.04</v>
      </c>
      <c r="V20" s="89">
        <v>0.74</v>
      </c>
      <c r="W20" s="86">
        <v>0.68786127167630062</v>
      </c>
      <c r="X20" s="86">
        <v>0.92954225902202792</v>
      </c>
      <c r="Y20" s="125">
        <v>3.718169036088112E-2</v>
      </c>
      <c r="Z20" s="210" t="s">
        <v>86</v>
      </c>
      <c r="AA20" s="89">
        <v>0.4</v>
      </c>
      <c r="AB20" s="89">
        <v>2.0000000000000004E-2</v>
      </c>
      <c r="AC20" s="80" t="s">
        <v>87</v>
      </c>
      <c r="AD20" s="89">
        <v>0.25</v>
      </c>
      <c r="AE20" s="89">
        <v>7.4999999999999997E-3</v>
      </c>
      <c r="AF20" s="80" t="s">
        <v>87</v>
      </c>
      <c r="AG20" s="89">
        <v>0.5</v>
      </c>
      <c r="AH20" s="102">
        <v>3.5000000000000003E-2</v>
      </c>
      <c r="AI20" s="176">
        <v>3400000</v>
      </c>
      <c r="AJ20" s="80">
        <v>1446325</v>
      </c>
      <c r="AK20" s="86">
        <v>0.42538970588235292</v>
      </c>
      <c r="AL20" s="86">
        <v>8.5077941176470592E-2</v>
      </c>
      <c r="AM20" s="80">
        <v>1.48</v>
      </c>
      <c r="AN20" s="80">
        <v>1.44</v>
      </c>
      <c r="AO20" s="86">
        <v>0.97297297297297292</v>
      </c>
      <c r="AP20" s="86">
        <v>9.7297297297297303E-2</v>
      </c>
      <c r="AQ20" s="80">
        <v>2390</v>
      </c>
      <c r="AR20" s="80">
        <v>720</v>
      </c>
      <c r="AS20" s="86">
        <v>0.30125523012552302</v>
      </c>
      <c r="AT20" s="125">
        <v>9.0376569037656909E-2</v>
      </c>
      <c r="AU20" s="199">
        <v>0.9</v>
      </c>
      <c r="AV20" s="89">
        <v>1</v>
      </c>
      <c r="AW20" s="89">
        <v>1.1111111111111112</v>
      </c>
      <c r="AX20" s="86">
        <v>0.5</v>
      </c>
      <c r="AY20" s="89">
        <v>0.9</v>
      </c>
      <c r="AZ20" s="89">
        <v>1</v>
      </c>
      <c r="BA20" s="89">
        <v>1.1111111111111112</v>
      </c>
      <c r="BB20" s="218">
        <v>0.5</v>
      </c>
      <c r="BC20" s="239">
        <v>0.53743349787230588</v>
      </c>
    </row>
    <row r="21" spans="2:55" ht="84" hidden="1">
      <c r="B21" s="229" t="s">
        <v>95</v>
      </c>
      <c r="C21" s="80" t="s">
        <v>122</v>
      </c>
      <c r="D21" s="80" t="s">
        <v>124</v>
      </c>
      <c r="E21" s="221" t="s">
        <v>100</v>
      </c>
      <c r="F21" s="223">
        <v>0.75</v>
      </c>
      <c r="G21" s="86">
        <v>0.75700000000000001</v>
      </c>
      <c r="H21" s="86">
        <v>1.0093333333333334</v>
      </c>
      <c r="I21" s="86">
        <v>0.06</v>
      </c>
      <c r="J21" s="86">
        <v>0.83</v>
      </c>
      <c r="K21" s="86">
        <v>0.86199999999999999</v>
      </c>
      <c r="L21" s="86">
        <v>1.03855421686747</v>
      </c>
      <c r="M21" s="86">
        <v>0.06</v>
      </c>
      <c r="N21" s="147" t="s">
        <v>84</v>
      </c>
      <c r="O21" s="80" t="s">
        <v>85</v>
      </c>
      <c r="P21" s="89">
        <v>0.1</v>
      </c>
      <c r="Q21" s="89">
        <v>5.000000000000001E-3</v>
      </c>
      <c r="R21" s="89">
        <v>0.9</v>
      </c>
      <c r="S21" s="89">
        <v>0.8974940334128878</v>
      </c>
      <c r="T21" s="89">
        <v>0.99721559268098647</v>
      </c>
      <c r="U21" s="89">
        <v>3.9888623707239459E-2</v>
      </c>
      <c r="V21" s="89">
        <v>0.71</v>
      </c>
      <c r="W21" s="86">
        <v>0.44941176470588234</v>
      </c>
      <c r="X21" s="86">
        <v>0.63297431648715829</v>
      </c>
      <c r="Y21" s="125">
        <v>2.5318972659486332E-2</v>
      </c>
      <c r="Z21" s="210" t="s">
        <v>86</v>
      </c>
      <c r="AA21" s="89">
        <v>0.30000000000000004</v>
      </c>
      <c r="AB21" s="89">
        <v>1.5000000000000003E-2</v>
      </c>
      <c r="AC21" s="80" t="s">
        <v>101</v>
      </c>
      <c r="AD21" s="80" t="s">
        <v>101</v>
      </c>
      <c r="AE21" s="80" t="s">
        <v>101</v>
      </c>
      <c r="AF21" s="80" t="s">
        <v>87</v>
      </c>
      <c r="AG21" s="89">
        <v>0.5</v>
      </c>
      <c r="AH21" s="102">
        <v>0.05</v>
      </c>
      <c r="AI21" s="176">
        <v>2360000</v>
      </c>
      <c r="AJ21" s="80">
        <v>1306799</v>
      </c>
      <c r="AK21" s="86">
        <v>0.55372838983050843</v>
      </c>
      <c r="AL21" s="86">
        <v>0.11074567796610169</v>
      </c>
      <c r="AM21" s="80">
        <v>1.39</v>
      </c>
      <c r="AN21" s="80">
        <v>1.37</v>
      </c>
      <c r="AO21" s="86">
        <v>0.98561151079136711</v>
      </c>
      <c r="AP21" s="86">
        <v>9.8561151079136711E-2</v>
      </c>
      <c r="AQ21" s="80">
        <v>2400</v>
      </c>
      <c r="AR21" s="80">
        <v>808</v>
      </c>
      <c r="AS21" s="86">
        <v>0.33666666666666667</v>
      </c>
      <c r="AT21" s="125">
        <v>0.10099999999999999</v>
      </c>
      <c r="AU21" s="199">
        <v>0.9</v>
      </c>
      <c r="AV21" s="89">
        <v>1</v>
      </c>
      <c r="AW21" s="89">
        <v>1.1111111111111112</v>
      </c>
      <c r="AX21" s="86">
        <v>0.45</v>
      </c>
      <c r="AY21" s="89">
        <v>0.9</v>
      </c>
      <c r="AZ21" s="89">
        <v>0.8949880668257757</v>
      </c>
      <c r="BA21" s="89">
        <v>0.99443118536197295</v>
      </c>
      <c r="BB21" s="86">
        <v>0.44749403341288785</v>
      </c>
      <c r="BC21" s="238">
        <v>0.56551442541196417</v>
      </c>
    </row>
    <row r="22" spans="2:55" ht="84" hidden="1">
      <c r="B22" s="229" t="s">
        <v>95</v>
      </c>
      <c r="C22" s="80" t="s">
        <v>120</v>
      </c>
      <c r="D22" s="80" t="s">
        <v>123</v>
      </c>
      <c r="E22" s="221" t="s">
        <v>102</v>
      </c>
      <c r="F22" s="223">
        <v>0.84</v>
      </c>
      <c r="G22" s="86">
        <v>0.91</v>
      </c>
      <c r="H22" s="86">
        <v>1.0833333333333335</v>
      </c>
      <c r="I22" s="86">
        <v>0.06</v>
      </c>
      <c r="J22" s="86">
        <v>0.9</v>
      </c>
      <c r="K22" s="86">
        <v>0.93600000000000005</v>
      </c>
      <c r="L22" s="86">
        <v>1.04</v>
      </c>
      <c r="M22" s="86">
        <v>0.06</v>
      </c>
      <c r="N22" s="147" t="s">
        <v>84</v>
      </c>
      <c r="O22" s="80" t="s">
        <v>85</v>
      </c>
      <c r="P22" s="89">
        <v>0.1</v>
      </c>
      <c r="Q22" s="89">
        <v>5.000000000000001E-3</v>
      </c>
      <c r="R22" s="89">
        <v>0.9</v>
      </c>
      <c r="S22" s="89">
        <v>0.87</v>
      </c>
      <c r="T22" s="89">
        <v>0.96666666666666667</v>
      </c>
      <c r="U22" s="89">
        <v>3.8666666666666669E-2</v>
      </c>
      <c r="V22" s="89">
        <v>0.74</v>
      </c>
      <c r="W22" s="86">
        <v>0.67155425219941345</v>
      </c>
      <c r="X22" s="86">
        <v>0.90750574621542357</v>
      </c>
      <c r="Y22" s="125">
        <v>3.6300229848616944E-2</v>
      </c>
      <c r="Z22" s="210" t="s">
        <v>86</v>
      </c>
      <c r="AA22" s="89">
        <v>0.2</v>
      </c>
      <c r="AB22" s="89">
        <v>1.0000000000000002E-2</v>
      </c>
      <c r="AC22" s="80" t="s">
        <v>101</v>
      </c>
      <c r="AD22" s="80" t="s">
        <v>101</v>
      </c>
      <c r="AE22" s="80" t="s">
        <v>101</v>
      </c>
      <c r="AF22" s="80" t="s">
        <v>87</v>
      </c>
      <c r="AG22" s="89">
        <v>0.5</v>
      </c>
      <c r="AH22" s="102">
        <v>0.05</v>
      </c>
      <c r="AI22" s="176">
        <v>4850000</v>
      </c>
      <c r="AJ22" s="80">
        <v>1410976</v>
      </c>
      <c r="AK22" s="86">
        <v>0.29092288659793814</v>
      </c>
      <c r="AL22" s="86">
        <v>5.8184577319587628E-2</v>
      </c>
      <c r="AM22" s="80">
        <v>1.27</v>
      </c>
      <c r="AN22" s="80">
        <v>1.56</v>
      </c>
      <c r="AO22" s="86">
        <v>1.2283464566929134</v>
      </c>
      <c r="AP22" s="86">
        <v>0.1</v>
      </c>
      <c r="AQ22" s="80">
        <v>2300</v>
      </c>
      <c r="AR22" s="80">
        <v>659</v>
      </c>
      <c r="AS22" s="86">
        <v>0.28652173913043477</v>
      </c>
      <c r="AT22" s="125">
        <v>8.5956521739130431E-2</v>
      </c>
      <c r="AU22" s="199">
        <v>0.9</v>
      </c>
      <c r="AV22" s="89">
        <v>0.84</v>
      </c>
      <c r="AW22" s="89">
        <v>0.93333333333333324</v>
      </c>
      <c r="AX22" s="86">
        <v>0.42</v>
      </c>
      <c r="AY22" s="89">
        <v>0.9</v>
      </c>
      <c r="AZ22" s="89">
        <v>0.98919308357348701</v>
      </c>
      <c r="BA22" s="89">
        <v>1.0991034261927632</v>
      </c>
      <c r="BB22" s="218">
        <v>0.45</v>
      </c>
      <c r="BC22" s="243">
        <v>0.50410799557400165</v>
      </c>
    </row>
    <row r="23" spans="2:55" ht="84.75" hidden="1" thickBot="1">
      <c r="B23" s="229" t="s">
        <v>95</v>
      </c>
      <c r="C23" s="80" t="s">
        <v>120</v>
      </c>
      <c r="D23" s="80" t="s">
        <v>123</v>
      </c>
      <c r="E23" s="221" t="s">
        <v>103</v>
      </c>
      <c r="F23" s="223">
        <v>0.85</v>
      </c>
      <c r="G23" s="86">
        <v>0.89300000000000002</v>
      </c>
      <c r="H23" s="86">
        <v>1.0505882352941176</v>
      </c>
      <c r="I23" s="86">
        <v>0.06</v>
      </c>
      <c r="J23" s="86">
        <v>0.87</v>
      </c>
      <c r="K23" s="86">
        <v>0.92400000000000004</v>
      </c>
      <c r="L23" s="86">
        <v>1.0620689655172415</v>
      </c>
      <c r="M23" s="86">
        <v>0.06</v>
      </c>
      <c r="N23" s="147" t="s">
        <v>84</v>
      </c>
      <c r="O23" s="80" t="s">
        <v>85</v>
      </c>
      <c r="P23" s="89">
        <v>0.1</v>
      </c>
      <c r="Q23" s="89">
        <v>5.000000000000001E-3</v>
      </c>
      <c r="R23" s="89">
        <v>0.9</v>
      </c>
      <c r="S23" s="89">
        <v>0.98334290637564614</v>
      </c>
      <c r="T23" s="89">
        <v>1.0926032293062735</v>
      </c>
      <c r="U23" s="89">
        <v>0.04</v>
      </c>
      <c r="V23" s="89">
        <v>0.68</v>
      </c>
      <c r="W23" s="86">
        <v>0.52057613168724282</v>
      </c>
      <c r="X23" s="86">
        <v>0.76555313483418053</v>
      </c>
      <c r="Y23" s="125">
        <v>3.0622125393367221E-2</v>
      </c>
      <c r="Z23" s="210" t="s">
        <v>86</v>
      </c>
      <c r="AA23" s="89">
        <v>0.30000000000000004</v>
      </c>
      <c r="AB23" s="89">
        <v>1.5000000000000003E-2</v>
      </c>
      <c r="AC23" s="80" t="s">
        <v>101</v>
      </c>
      <c r="AD23" s="80" t="s">
        <v>101</v>
      </c>
      <c r="AE23" s="80" t="s">
        <v>101</v>
      </c>
      <c r="AF23" s="80" t="s">
        <v>87</v>
      </c>
      <c r="AG23" s="89">
        <v>0.5</v>
      </c>
      <c r="AH23" s="102">
        <v>0.05</v>
      </c>
      <c r="AI23" s="176">
        <v>2153000</v>
      </c>
      <c r="AJ23" s="80">
        <v>756854</v>
      </c>
      <c r="AK23" s="86">
        <v>0.35153460287970273</v>
      </c>
      <c r="AL23" s="86">
        <v>7.0306920575940554E-2</v>
      </c>
      <c r="AM23" s="80">
        <v>0.84</v>
      </c>
      <c r="AN23" s="80">
        <v>0.8</v>
      </c>
      <c r="AO23" s="86">
        <v>0.95238095238095244</v>
      </c>
      <c r="AP23" s="86">
        <v>9.5238095238095247E-2</v>
      </c>
      <c r="AQ23" s="80">
        <v>1100</v>
      </c>
      <c r="AR23" s="80">
        <v>439</v>
      </c>
      <c r="AS23" s="86">
        <v>0.39909090909090911</v>
      </c>
      <c r="AT23" s="125">
        <v>0.11972727272727272</v>
      </c>
      <c r="AU23" s="199">
        <v>0.9</v>
      </c>
      <c r="AV23" s="89">
        <v>1</v>
      </c>
      <c r="AW23" s="89">
        <v>1.1111111111111112</v>
      </c>
      <c r="AX23" s="86">
        <v>0.5</v>
      </c>
      <c r="AY23" s="89">
        <v>0.9</v>
      </c>
      <c r="AZ23" s="89">
        <v>0.96668581275129239</v>
      </c>
      <c r="BA23" s="89">
        <v>1.0740953475014359</v>
      </c>
      <c r="BB23" s="218">
        <v>0.48334290637564614</v>
      </c>
      <c r="BC23" s="244">
        <v>0.54589441393467575</v>
      </c>
    </row>
    <row r="24" spans="2:55" ht="84">
      <c r="B24" s="230" t="s">
        <v>104</v>
      </c>
      <c r="C24" s="80" t="s">
        <v>125</v>
      </c>
      <c r="D24" s="80" t="s">
        <v>119</v>
      </c>
      <c r="E24" s="221" t="s">
        <v>105</v>
      </c>
      <c r="F24" s="223">
        <v>0.7</v>
      </c>
      <c r="G24" s="86">
        <v>0.52900000000000003</v>
      </c>
      <c r="H24" s="86">
        <v>0.75571428571428578</v>
      </c>
      <c r="I24" s="86">
        <v>4.5342857142857143E-2</v>
      </c>
      <c r="J24" s="86">
        <v>0.88</v>
      </c>
      <c r="K24" s="86">
        <v>0.92700000000000005</v>
      </c>
      <c r="L24" s="86">
        <v>1.053409090909091</v>
      </c>
      <c r="M24" s="86">
        <v>0.06</v>
      </c>
      <c r="N24" s="147" t="s">
        <v>84</v>
      </c>
      <c r="O24" s="80" t="s">
        <v>85</v>
      </c>
      <c r="P24" s="89">
        <v>0.1</v>
      </c>
      <c r="Q24" s="89">
        <v>5.000000000000001E-3</v>
      </c>
      <c r="R24" s="89">
        <v>0.9</v>
      </c>
      <c r="S24" s="89">
        <v>0.81092198529840731</v>
      </c>
      <c r="T24" s="89">
        <v>0.90102442810934147</v>
      </c>
      <c r="U24" s="89">
        <v>3.6040977124373659E-2</v>
      </c>
      <c r="V24" s="89">
        <v>0.53</v>
      </c>
      <c r="W24" s="86">
        <v>0</v>
      </c>
      <c r="X24" s="86">
        <v>0</v>
      </c>
      <c r="Y24" s="125">
        <v>0</v>
      </c>
      <c r="Z24" s="210" t="s">
        <v>86</v>
      </c>
      <c r="AA24" s="89">
        <v>0.30000000000000004</v>
      </c>
      <c r="AB24" s="89">
        <v>1.5000000000000003E-2</v>
      </c>
      <c r="AC24" s="80" t="s">
        <v>101</v>
      </c>
      <c r="AD24" s="80" t="s">
        <v>101</v>
      </c>
      <c r="AE24" s="80" t="s">
        <v>101</v>
      </c>
      <c r="AF24" s="80" t="s">
        <v>87</v>
      </c>
      <c r="AG24" s="89">
        <v>0.5</v>
      </c>
      <c r="AH24" s="102">
        <v>0.05</v>
      </c>
      <c r="AI24" s="176">
        <v>700000</v>
      </c>
      <c r="AJ24" s="80">
        <v>126970</v>
      </c>
      <c r="AK24" s="86">
        <v>0.18138571428571429</v>
      </c>
      <c r="AL24" s="86">
        <v>3.6277142857142862E-2</v>
      </c>
      <c r="AM24" s="80">
        <v>1.03</v>
      </c>
      <c r="AN24" s="80">
        <v>0</v>
      </c>
      <c r="AO24" s="86">
        <v>0</v>
      </c>
      <c r="AP24" s="86">
        <v>0</v>
      </c>
      <c r="AQ24" s="80">
        <v>1269</v>
      </c>
      <c r="AR24" s="80">
        <v>681</v>
      </c>
      <c r="AS24" s="86">
        <v>0.53664302600472813</v>
      </c>
      <c r="AT24" s="125">
        <v>0.16099290780141842</v>
      </c>
      <c r="AU24" s="199">
        <v>0.9</v>
      </c>
      <c r="AV24" s="89">
        <v>0.95218855218855225</v>
      </c>
      <c r="AW24" s="89">
        <v>1.0579872802095025</v>
      </c>
      <c r="AX24" s="86">
        <v>0.45</v>
      </c>
      <c r="AY24" s="89">
        <v>0.9</v>
      </c>
      <c r="AZ24" s="89">
        <v>0.72184397059681471</v>
      </c>
      <c r="BA24" s="89">
        <v>0.80204885621868294</v>
      </c>
      <c r="BB24" s="86">
        <v>0.36092198529840736</v>
      </c>
      <c r="BC24" s="240">
        <v>0.40865388492579208</v>
      </c>
    </row>
    <row r="25" spans="2:55" ht="84.75" thickBot="1">
      <c r="B25" s="231" t="s">
        <v>104</v>
      </c>
      <c r="C25" s="217" t="s">
        <v>125</v>
      </c>
      <c r="D25" s="217" t="s">
        <v>119</v>
      </c>
      <c r="E25" s="222" t="s">
        <v>106</v>
      </c>
      <c r="F25" s="177" t="s">
        <v>107</v>
      </c>
      <c r="G25" s="122" t="s">
        <v>107</v>
      </c>
      <c r="H25" s="122" t="s">
        <v>107</v>
      </c>
      <c r="I25" s="122" t="s">
        <v>107</v>
      </c>
      <c r="J25" s="122" t="s">
        <v>107</v>
      </c>
      <c r="K25" s="122" t="s">
        <v>107</v>
      </c>
      <c r="L25" s="122" t="s">
        <v>107</v>
      </c>
      <c r="M25" s="122" t="s">
        <v>107</v>
      </c>
      <c r="N25" s="205" t="s">
        <v>84</v>
      </c>
      <c r="O25" s="122" t="s">
        <v>85</v>
      </c>
      <c r="P25" s="135">
        <v>0.1</v>
      </c>
      <c r="Q25" s="135">
        <v>5.000000000000001E-3</v>
      </c>
      <c r="R25" s="135">
        <v>0.9</v>
      </c>
      <c r="S25" s="135">
        <v>0.53771884354634714</v>
      </c>
      <c r="T25" s="135">
        <v>0.59746538171816344</v>
      </c>
      <c r="U25" s="135">
        <v>2.9873269085908174E-2</v>
      </c>
      <c r="V25" s="135">
        <v>0.63</v>
      </c>
      <c r="W25" s="224">
        <v>0.32989690721649484</v>
      </c>
      <c r="X25" s="224">
        <v>0.52364588447062677</v>
      </c>
      <c r="Y25" s="126">
        <v>2.6182294223531341E-2</v>
      </c>
      <c r="Z25" s="211" t="s">
        <v>86</v>
      </c>
      <c r="AA25" s="135">
        <v>0.30000000000000004</v>
      </c>
      <c r="AB25" s="135">
        <v>1.5000000000000003E-2</v>
      </c>
      <c r="AC25" s="122" t="s">
        <v>101</v>
      </c>
      <c r="AD25" s="122" t="s">
        <v>101</v>
      </c>
      <c r="AE25" s="122" t="s">
        <v>101</v>
      </c>
      <c r="AF25" s="122" t="s">
        <v>87</v>
      </c>
      <c r="AG25" s="135">
        <v>0.5</v>
      </c>
      <c r="AH25" s="105">
        <v>0.05</v>
      </c>
      <c r="AI25" s="177">
        <v>100000</v>
      </c>
      <c r="AJ25" s="122">
        <v>32719</v>
      </c>
      <c r="AK25" s="224">
        <v>0.32718999999999998</v>
      </c>
      <c r="AL25" s="224">
        <v>8.1797499999999995E-2</v>
      </c>
      <c r="AM25" s="122">
        <v>2.02</v>
      </c>
      <c r="AN25" s="122">
        <v>0</v>
      </c>
      <c r="AO25" s="224">
        <v>0</v>
      </c>
      <c r="AP25" s="224">
        <v>0</v>
      </c>
      <c r="AQ25" s="122">
        <v>742</v>
      </c>
      <c r="AR25" s="122">
        <v>234</v>
      </c>
      <c r="AS25" s="224">
        <v>0.31536388140161725</v>
      </c>
      <c r="AT25" s="126">
        <v>0.11037735849056603</v>
      </c>
      <c r="AU25" s="236">
        <v>0.9</v>
      </c>
      <c r="AV25" s="219">
        <v>0.77417027417027418</v>
      </c>
      <c r="AW25" s="219">
        <v>0.86018919352252687</v>
      </c>
      <c r="AX25" s="220">
        <v>0.38708513708513709</v>
      </c>
      <c r="AY25" s="219">
        <v>0.9</v>
      </c>
      <c r="AZ25" s="219">
        <v>0.30126741292242004</v>
      </c>
      <c r="BA25" s="219">
        <v>0.33474156991380005</v>
      </c>
      <c r="BB25" s="220">
        <v>0.15063370646121002</v>
      </c>
      <c r="BC25" s="242">
        <v>0.3182304218000056</v>
      </c>
    </row>
  </sheetData>
  <mergeCells count="3">
    <mergeCell ref="F9:Y9"/>
    <mergeCell ref="Z9:AH9"/>
    <mergeCell ref="AI9:AT9"/>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3818-1369-4C73-85C2-580ED64BFD1E}">
  <sheetPr codeName="Hoja4"/>
  <dimension ref="B1:X35"/>
  <sheetViews>
    <sheetView showGridLines="0" zoomScale="76" zoomScaleNormal="78" workbookViewId="0">
      <selection activeCell="L52" sqref="L52"/>
    </sheetView>
  </sheetViews>
  <sheetFormatPr baseColWidth="10" defaultColWidth="8.85546875" defaultRowHeight="15"/>
  <cols>
    <col min="1" max="1" width="3.85546875" customWidth="1"/>
    <col min="2" max="2" width="12.42578125" customWidth="1"/>
    <col min="5" max="5" width="9.5703125" customWidth="1"/>
    <col min="9" max="9" width="6" customWidth="1"/>
    <col min="10" max="10" width="8.85546875" customWidth="1"/>
    <col min="17" max="17" width="8.5703125" customWidth="1"/>
    <col min="22" max="22" width="12.140625" customWidth="1"/>
    <col min="23" max="23" width="13.140625" bestFit="1" customWidth="1"/>
    <col min="24" max="24" width="14" customWidth="1"/>
  </cols>
  <sheetData>
    <row r="1" spans="2:24" ht="10.7" customHeight="1"/>
    <row r="2" spans="2:24" ht="10.7" customHeight="1"/>
    <row r="3" spans="2:24" ht="34.5">
      <c r="B3" s="172" t="s">
        <v>99</v>
      </c>
    </row>
    <row r="7" spans="2:24" ht="15.75" thickBot="1">
      <c r="C7" s="50"/>
      <c r="D7" s="50"/>
      <c r="E7" s="45"/>
      <c r="F7" s="3"/>
    </row>
    <row r="8" spans="2:24">
      <c r="C8" s="44" t="s">
        <v>1</v>
      </c>
      <c r="D8" s="44" t="s">
        <v>2</v>
      </c>
      <c r="E8" s="44" t="s">
        <v>3</v>
      </c>
      <c r="F8" s="44" t="s">
        <v>4</v>
      </c>
      <c r="H8" s="44" t="s">
        <v>1</v>
      </c>
      <c r="I8" s="44" t="s">
        <v>2</v>
      </c>
      <c r="J8" s="44" t="s">
        <v>3</v>
      </c>
      <c r="K8" s="44" t="s">
        <v>4</v>
      </c>
      <c r="M8" s="44" t="s">
        <v>1</v>
      </c>
      <c r="N8" s="44" t="s">
        <v>2</v>
      </c>
      <c r="O8" s="44" t="s">
        <v>3</v>
      </c>
      <c r="P8" s="44" t="s">
        <v>4</v>
      </c>
      <c r="V8" s="289" t="s">
        <v>5</v>
      </c>
      <c r="W8" s="290"/>
      <c r="X8" s="291"/>
    </row>
    <row r="9" spans="2:24">
      <c r="B9" s="44" t="s">
        <v>6</v>
      </c>
      <c r="C9" s="3">
        <f>VLOOKUP(B3,Data!$C$3:$BE$22,Data!D2,FALSE)</f>
        <v>0.7</v>
      </c>
      <c r="D9" s="3">
        <f>VLOOKUP(B3,Data!$C$3:$BE$22,Data!E2,FALSE)</f>
        <v>0.76300000000000001</v>
      </c>
      <c r="E9" s="3">
        <f>VLOOKUP(B3,Data!$C$3:$BE$22,Data!F2,FALSE)</f>
        <v>1.0900000000000001</v>
      </c>
      <c r="F9" s="3">
        <f>IF(E9&gt;=100%,0%,100%-E9)</f>
        <v>0</v>
      </c>
      <c r="G9" s="51" t="s">
        <v>7</v>
      </c>
      <c r="H9" s="3">
        <f>VLOOKUP($B$3,Data!$C$3:$BE$22,Data!H2,FALSE)</f>
        <v>0.88</v>
      </c>
      <c r="I9" s="3">
        <f>VLOOKUP($B$3,Data!$C$3:$BE$22,Data!I2,FALSE)</f>
        <v>0.95599999999999996</v>
      </c>
      <c r="J9" s="3">
        <f>VLOOKUP($B$3,Data!$C$3:$BE$22,Data!J2,FALSE)</f>
        <v>1.0863636363636364</v>
      </c>
      <c r="K9" s="3">
        <f>IF(J9&gt;=100%,0%,100%-J9)</f>
        <v>0</v>
      </c>
      <c r="L9" s="44" t="s">
        <v>8</v>
      </c>
      <c r="M9" s="3">
        <f>VLOOKUP($B$3,Data!$C$3:$BE$22,Data!T2,FALSE)</f>
        <v>0.74</v>
      </c>
      <c r="N9" s="3">
        <f>VLOOKUP($B$3,Data!$C$3:$BE$22,Data!U2,FALSE)</f>
        <v>0.73988439306358378</v>
      </c>
      <c r="O9" s="3">
        <f>VLOOKUP($B$3,Data!$C$3:$BE$22,Data!V2,FALSE)</f>
        <v>0.99984377441024841</v>
      </c>
      <c r="P9" s="3">
        <f>IF(O9&gt;=100%,0%,100%-O9)</f>
        <v>1.5622558975159073E-4</v>
      </c>
      <c r="V9" s="292"/>
      <c r="W9" s="293"/>
      <c r="X9" s="294"/>
    </row>
    <row r="10" spans="2:24">
      <c r="L10" t="s">
        <v>9</v>
      </c>
      <c r="M10" s="3">
        <f>VLOOKUP($B$3,Data!$C$3:$BE$22,Data!AW2,FALSE)</f>
        <v>0.9</v>
      </c>
      <c r="N10" s="3">
        <f>VLOOKUP($B$3,Data!$C$3:$BE$22,Data!AX2,FALSE)</f>
        <v>1</v>
      </c>
      <c r="O10" s="3">
        <f>VLOOKUP($B$3,Data!$C$3:$BE$22,Data!AY2,FALSE)</f>
        <v>1.1111111111111112</v>
      </c>
      <c r="P10" s="3">
        <f t="shared" ref="P10:P11" si="0">IF(O10&gt;=100%,0%,100%-O10)</f>
        <v>0</v>
      </c>
      <c r="Q10" s="3">
        <f>VLOOKUP($B$3,Data!$C$3:$BE$22,Data!AZ2,FALSE)</f>
        <v>0.5</v>
      </c>
      <c r="V10" s="295" t="s">
        <v>1</v>
      </c>
      <c r="W10" s="296"/>
      <c r="X10" s="121" t="s">
        <v>10</v>
      </c>
    </row>
    <row r="11" spans="2:24">
      <c r="L11" t="s">
        <v>11</v>
      </c>
      <c r="M11" s="3">
        <f>VLOOKUP($B$3,Data!$C$3:$BE$22,Data!BA2,FALSE)</f>
        <v>0.9</v>
      </c>
      <c r="N11" s="3">
        <f>VLOOKUP($B$3,Data!$C$3:$BE$22,Data!BB2,FALSE)</f>
        <v>1</v>
      </c>
      <c r="O11" s="3">
        <f>VLOOKUP($B$3,Data!$C$3:$BE$22,Data!BC2,FALSE)</f>
        <v>1.1111111111111112</v>
      </c>
      <c r="P11" s="3">
        <f t="shared" si="0"/>
        <v>0</v>
      </c>
      <c r="Q11" s="3">
        <f>VLOOKUP($B$3,Data!$C$3:$BE$22,Data!BD2,FALSE)</f>
        <v>0.5</v>
      </c>
      <c r="V11" s="297" t="str">
        <f>VLOOKUP(B3,Data!C3:BE22,Data!L2,FALSE)</f>
        <v>NRC Plan FY25-FY26, signed in Q1 FY25</v>
      </c>
      <c r="W11" s="298"/>
      <c r="X11" s="315" t="str">
        <f>VLOOKUP(B3,Data!C3:BE22,Data!M2,FALSE)</f>
        <v>Signed</v>
      </c>
    </row>
    <row r="12" spans="2:24" ht="15.75" thickBot="1">
      <c r="V12" s="299"/>
      <c r="W12" s="300"/>
      <c r="X12" s="316"/>
    </row>
    <row r="13" spans="2:24">
      <c r="M13" t="s">
        <v>12</v>
      </c>
      <c r="N13" t="s">
        <v>13</v>
      </c>
      <c r="O13" t="s">
        <v>1</v>
      </c>
      <c r="P13" t="s">
        <v>14</v>
      </c>
      <c r="Q13" t="s">
        <v>3</v>
      </c>
      <c r="R13" t="s">
        <v>4</v>
      </c>
    </row>
    <row r="14" spans="2:24">
      <c r="L14" t="s">
        <v>15</v>
      </c>
      <c r="M14" s="46">
        <f>N10</f>
        <v>1</v>
      </c>
      <c r="N14" s="46">
        <f>N11</f>
        <v>1</v>
      </c>
      <c r="O14" s="50">
        <v>0.9</v>
      </c>
      <c r="P14" s="46">
        <f>Q10+Q11</f>
        <v>1</v>
      </c>
      <c r="Q14" s="45">
        <f>P14/O14</f>
        <v>1.1111111111111112</v>
      </c>
      <c r="R14" s="3">
        <f>IF(Q14&gt;=100%,0%,100%-Q14)</f>
        <v>0</v>
      </c>
    </row>
    <row r="15" spans="2:24" ht="15.75" thickBot="1">
      <c r="L15" t="s">
        <v>1</v>
      </c>
      <c r="M15" s="50">
        <v>0.9</v>
      </c>
      <c r="N15" s="50">
        <v>0.9</v>
      </c>
    </row>
    <row r="16" spans="2:24">
      <c r="V16" s="115" t="s">
        <v>16</v>
      </c>
      <c r="W16" s="116" t="s">
        <v>17</v>
      </c>
      <c r="X16" s="117" t="s">
        <v>18</v>
      </c>
    </row>
    <row r="17" spans="2:24" ht="15.75" thickBot="1">
      <c r="V17" s="177">
        <v>2</v>
      </c>
      <c r="W17" s="122">
        <v>0</v>
      </c>
      <c r="X17" s="175">
        <v>0</v>
      </c>
    </row>
    <row r="23" spans="2:24" ht="15.75" thickBot="1"/>
    <row r="24" spans="2:24" ht="18.75">
      <c r="B24" s="74"/>
      <c r="C24" s="303" t="s">
        <v>19</v>
      </c>
      <c r="D24" s="304"/>
      <c r="E24" s="304"/>
      <c r="F24" s="304"/>
      <c r="G24" s="304"/>
      <c r="H24" s="305"/>
      <c r="I24" s="74"/>
      <c r="J24" s="289" t="s">
        <v>20</v>
      </c>
      <c r="K24" s="290"/>
      <c r="L24" s="290"/>
      <c r="M24" s="290"/>
      <c r="N24" s="290"/>
      <c r="O24" s="291"/>
      <c r="P24" s="74"/>
      <c r="Q24" s="289" t="s">
        <v>21</v>
      </c>
      <c r="R24" s="290"/>
      <c r="S24" s="290"/>
      <c r="T24" s="290"/>
      <c r="U24" s="290"/>
      <c r="V24" s="290"/>
      <c r="W24" s="291"/>
    </row>
    <row r="25" spans="2:24" ht="16.7" customHeight="1">
      <c r="B25" s="74"/>
      <c r="C25" s="261" t="s">
        <v>1</v>
      </c>
      <c r="D25" s="262"/>
      <c r="E25" s="262"/>
      <c r="F25" s="262"/>
      <c r="G25" s="262" t="s">
        <v>2</v>
      </c>
      <c r="H25" s="263"/>
      <c r="I25" s="74"/>
      <c r="J25" s="261" t="s">
        <v>1</v>
      </c>
      <c r="K25" s="262"/>
      <c r="L25" s="262"/>
      <c r="M25" s="262"/>
      <c r="N25" s="262" t="s">
        <v>2</v>
      </c>
      <c r="O25" s="263"/>
      <c r="P25" s="74"/>
      <c r="Q25" s="264" t="s">
        <v>1</v>
      </c>
      <c r="R25" s="265"/>
      <c r="S25" s="265"/>
      <c r="T25" s="265"/>
      <c r="U25" s="266"/>
      <c r="V25" s="267" t="s">
        <v>2</v>
      </c>
      <c r="W25" s="268"/>
      <c r="X25" s="74"/>
    </row>
    <row r="26" spans="2:24">
      <c r="B26" s="74"/>
      <c r="C26" s="269" t="str">
        <f>VLOOKUP(B3,Data!C3:BE22,Data!X2,FALSE)</f>
        <v>Montly Report</v>
      </c>
      <c r="D26" s="270"/>
      <c r="E26" s="270"/>
      <c r="F26" s="270"/>
      <c r="G26" s="325">
        <f>VLOOKUP(B3,Data!C3:BE22,Data!Y2,FALSE)</f>
        <v>0.6</v>
      </c>
      <c r="H26" s="326"/>
      <c r="I26" s="74"/>
      <c r="J26" s="277" t="s">
        <v>22</v>
      </c>
      <c r="K26" s="278"/>
      <c r="L26" s="278"/>
      <c r="M26" s="278"/>
      <c r="N26" s="329" t="str">
        <f>VLOOKUP(B3,Data!C3:BE22,Data!AA2,FALSE)</f>
        <v>Q3</v>
      </c>
      <c r="O26" s="330"/>
      <c r="P26" s="74"/>
      <c r="Q26" s="317" t="s">
        <v>24</v>
      </c>
      <c r="R26" s="318"/>
      <c r="S26" s="318"/>
      <c r="T26" s="318"/>
      <c r="U26" s="318"/>
      <c r="V26" s="321" t="str">
        <f>VLOOKUP(B3,Data!C3:BE22,Data!AD2,FALSE)</f>
        <v>Q3</v>
      </c>
      <c r="W26" s="322"/>
      <c r="X26" s="74"/>
    </row>
    <row r="27" spans="2:24" ht="15.75" thickBot="1">
      <c r="B27" s="74"/>
      <c r="C27" s="269"/>
      <c r="D27" s="270"/>
      <c r="E27" s="270"/>
      <c r="F27" s="270"/>
      <c r="G27" s="325"/>
      <c r="H27" s="326"/>
      <c r="I27" s="74"/>
      <c r="J27" s="279"/>
      <c r="K27" s="280"/>
      <c r="L27" s="280"/>
      <c r="M27" s="280"/>
      <c r="N27" s="331"/>
      <c r="O27" s="332"/>
      <c r="P27" s="74"/>
      <c r="Q27" s="317"/>
      <c r="R27" s="318"/>
      <c r="S27" s="318"/>
      <c r="T27" s="318"/>
      <c r="U27" s="318"/>
      <c r="V27" s="321"/>
      <c r="W27" s="322"/>
      <c r="X27" s="74"/>
    </row>
    <row r="28" spans="2:24">
      <c r="B28" s="74"/>
      <c r="C28" s="269"/>
      <c r="D28" s="270"/>
      <c r="E28" s="270"/>
      <c r="F28" s="270"/>
      <c r="G28" s="325"/>
      <c r="H28" s="326"/>
      <c r="I28" s="74"/>
      <c r="J28" s="74"/>
      <c r="K28" s="74"/>
      <c r="L28" s="74"/>
      <c r="M28" s="74"/>
      <c r="N28" s="74"/>
      <c r="O28" s="74"/>
      <c r="P28" s="74"/>
      <c r="Q28" s="317"/>
      <c r="R28" s="318"/>
      <c r="S28" s="318"/>
      <c r="T28" s="318"/>
      <c r="U28" s="318"/>
      <c r="V28" s="321"/>
      <c r="W28" s="322"/>
      <c r="X28" s="74"/>
    </row>
    <row r="29" spans="2:24" ht="15.75" thickBot="1">
      <c r="B29" s="74"/>
      <c r="C29" s="271"/>
      <c r="D29" s="272"/>
      <c r="E29" s="272"/>
      <c r="F29" s="272"/>
      <c r="G29" s="327"/>
      <c r="H29" s="328"/>
      <c r="I29" s="74"/>
      <c r="J29" s="74"/>
      <c r="K29" s="74"/>
      <c r="L29" s="74"/>
      <c r="M29" s="74"/>
      <c r="N29" s="74"/>
      <c r="O29" s="74"/>
      <c r="P29" s="74"/>
      <c r="Q29" s="319"/>
      <c r="R29" s="320"/>
      <c r="S29" s="320"/>
      <c r="T29" s="320"/>
      <c r="U29" s="320"/>
      <c r="V29" s="323"/>
      <c r="W29" s="324"/>
      <c r="X29" s="74"/>
    </row>
    <row r="34" spans="3:23">
      <c r="D34" t="s">
        <v>1</v>
      </c>
      <c r="E34" t="s">
        <v>2</v>
      </c>
      <c r="F34" t="s">
        <v>3</v>
      </c>
      <c r="G34" t="s">
        <v>4</v>
      </c>
      <c r="K34" t="s">
        <v>1</v>
      </c>
      <c r="L34" t="s">
        <v>2</v>
      </c>
      <c r="M34" t="s">
        <v>3</v>
      </c>
      <c r="N34" t="s">
        <v>4</v>
      </c>
      <c r="Q34" t="s">
        <v>1</v>
      </c>
      <c r="R34" t="s">
        <v>2</v>
      </c>
      <c r="S34" t="s">
        <v>3</v>
      </c>
      <c r="T34" t="s">
        <v>4</v>
      </c>
      <c r="V34" s="123">
        <f>VLOOKUP(B3,Data!C3:BE22,Data!BE2,FALSE)</f>
        <v>0.63514641893577961</v>
      </c>
      <c r="W34" s="123">
        <f>IF(V34&gt;=100%,0%,100%-V34)</f>
        <v>0.36485358106422039</v>
      </c>
    </row>
    <row r="35" spans="3:23">
      <c r="C35" t="s">
        <v>25</v>
      </c>
      <c r="D35" s="52">
        <f>VLOOKUP(B3,Data!$C$3:$BE$22,Data!AG2,FALSE)</f>
        <v>3400000</v>
      </c>
      <c r="E35" s="52">
        <f>VLOOKUP($B$3,Data!$C$3:$BE$22,Data!AH2,FALSE)</f>
        <v>1760989</v>
      </c>
      <c r="F35" s="53">
        <f>VLOOKUP($B$3,Data!$C$3:$BE$22,Data!AI2,FALSE)</f>
        <v>0.51793794117647063</v>
      </c>
      <c r="G35" s="3">
        <f>IF(F35&gt;=100%,0%,100%-F35)</f>
        <v>0.48206205882352937</v>
      </c>
      <c r="J35" t="s">
        <v>26</v>
      </c>
      <c r="K35" s="54">
        <f>VLOOKUP($B$3,Data!$C$3:$BE$22,Data!AK2,FALSE)</f>
        <v>1.48</v>
      </c>
      <c r="L35" s="54">
        <f>VLOOKUP($B$3,Data!$C$3:$BE$22,Data!AL2,FALSE)</f>
        <v>1.44</v>
      </c>
      <c r="M35" s="3">
        <f>VLOOKUP($B$3,Data!$C$3:$BE$22,Data!AM2,FALSE)</f>
        <v>0.97297297297297292</v>
      </c>
      <c r="N35" s="3">
        <f>IF(M35&gt;=100%,0%,100%-M35)</f>
        <v>2.7027027027027084E-2</v>
      </c>
      <c r="P35" t="s">
        <v>27</v>
      </c>
      <c r="Q35" s="55">
        <f>VLOOKUP($B$3,Data!$C$3:$BE$22,Data!AO2,FALSE)</f>
        <v>2390</v>
      </c>
      <c r="R35" s="55">
        <f>VLOOKUP($B$3,Data!$C$3:$BE$22,Data!AP2,FALSE)</f>
        <v>990</v>
      </c>
      <c r="S35" s="56">
        <f>VLOOKUP($B$3,Data!$C$3:$BE$22,Data!AQ2,FALSE)</f>
        <v>0.41422594142259417</v>
      </c>
      <c r="T35" s="3">
        <f>IF(S35&gt;=100%,0%,100%-S35)</f>
        <v>0.58577405857740583</v>
      </c>
    </row>
  </sheetData>
  <mergeCells count="19">
    <mergeCell ref="Q26:U29"/>
    <mergeCell ref="V26:W29"/>
    <mergeCell ref="C26:F29"/>
    <mergeCell ref="G26:H29"/>
    <mergeCell ref="G25:H25"/>
    <mergeCell ref="J25:M25"/>
    <mergeCell ref="N25:O25"/>
    <mergeCell ref="J26:M27"/>
    <mergeCell ref="N26:O27"/>
    <mergeCell ref="V8:X9"/>
    <mergeCell ref="V10:W10"/>
    <mergeCell ref="V11:W12"/>
    <mergeCell ref="X11:X12"/>
    <mergeCell ref="C25:F25"/>
    <mergeCell ref="Q24:W24"/>
    <mergeCell ref="Q25:U25"/>
    <mergeCell ref="V25:W25"/>
    <mergeCell ref="C24:H24"/>
    <mergeCell ref="J24:O2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8A43D24-87A7-4116-A37E-74BFE1B4FA22}">
          <x14:formula1>
            <xm:f>Data!$C$4:$C$22</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7798-A350-4BE2-94B9-AE166F3EB9F1}">
  <sheetPr codeName="Hoja5"/>
  <dimension ref="B1:AW181"/>
  <sheetViews>
    <sheetView topLeftCell="A21" zoomScale="92" zoomScaleNormal="78" workbookViewId="0">
      <selection activeCell="Q34" sqref="Q34"/>
    </sheetView>
  </sheetViews>
  <sheetFormatPr baseColWidth="10" defaultColWidth="8.85546875" defaultRowHeight="15"/>
  <cols>
    <col min="1" max="1" width="4.5703125" style="9" customWidth="1"/>
    <col min="2" max="2" width="8.85546875" style="9"/>
    <col min="3" max="3" width="22.5703125" style="9" customWidth="1"/>
    <col min="4" max="4" width="11" style="9" customWidth="1"/>
    <col min="5" max="5" width="12.140625" style="9" customWidth="1"/>
    <col min="6" max="10" width="8.85546875" style="9"/>
    <col min="11" max="11" width="8.140625" style="9" customWidth="1"/>
    <col min="12" max="13" width="8.85546875" style="9" customWidth="1"/>
    <col min="14" max="14" width="8.85546875" style="9"/>
    <col min="15" max="15" width="9.85546875" style="9" customWidth="1"/>
    <col min="16" max="16" width="8.85546875" style="9"/>
    <col min="17" max="17" width="20" style="9" bestFit="1" customWidth="1"/>
    <col min="18" max="22" width="8.85546875" style="9"/>
    <col min="23" max="23" width="10.140625" style="9" bestFit="1" customWidth="1"/>
    <col min="24" max="24" width="8.85546875" style="9"/>
    <col min="25" max="25" width="10" style="9" bestFit="1" customWidth="1"/>
    <col min="26" max="26" width="9.140625" style="9" bestFit="1" customWidth="1"/>
    <col min="27" max="39" width="8.85546875" style="9"/>
    <col min="40" max="40" width="18.5703125" style="9" customWidth="1"/>
    <col min="41" max="49" width="17.85546875" style="9" bestFit="1" customWidth="1"/>
    <col min="50" max="16384" width="8.85546875" style="9"/>
  </cols>
  <sheetData>
    <row r="1" spans="2:49" ht="18.75">
      <c r="B1" s="93" t="s">
        <v>67</v>
      </c>
      <c r="R1" s="114" t="s">
        <v>126</v>
      </c>
      <c r="AF1" s="114" t="s">
        <v>55</v>
      </c>
    </row>
    <row r="2" spans="2:49">
      <c r="B2" s="9">
        <v>1</v>
      </c>
      <c r="C2" s="9">
        <v>2</v>
      </c>
      <c r="D2" s="9">
        <v>3</v>
      </c>
      <c r="E2" s="9">
        <v>4</v>
      </c>
      <c r="F2" s="9">
        <v>5</v>
      </c>
      <c r="G2" s="9">
        <v>6</v>
      </c>
      <c r="H2" s="9">
        <v>7</v>
      </c>
      <c r="I2" s="9">
        <v>8</v>
      </c>
      <c r="J2" s="9">
        <v>9</v>
      </c>
      <c r="K2" s="9">
        <v>10</v>
      </c>
      <c r="L2" s="9">
        <v>11</v>
      </c>
      <c r="M2" s="9">
        <v>12</v>
      </c>
      <c r="N2" s="9">
        <v>13</v>
      </c>
      <c r="O2" s="9">
        <v>14</v>
      </c>
      <c r="R2" s="9">
        <v>1</v>
      </c>
      <c r="S2" s="9">
        <v>2</v>
      </c>
      <c r="T2" s="9">
        <v>3</v>
      </c>
      <c r="U2" s="9">
        <v>4</v>
      </c>
      <c r="V2" s="9">
        <v>5</v>
      </c>
      <c r="W2" s="9">
        <v>6</v>
      </c>
      <c r="X2" s="9">
        <v>7</v>
      </c>
      <c r="Y2" s="9">
        <v>8</v>
      </c>
      <c r="Z2" s="9">
        <v>9</v>
      </c>
      <c r="AA2" s="9">
        <v>10</v>
      </c>
      <c r="AB2" s="9">
        <v>11</v>
      </c>
      <c r="AC2" s="9">
        <v>12</v>
      </c>
      <c r="AD2" s="9">
        <v>13</v>
      </c>
      <c r="AF2" s="9">
        <v>1</v>
      </c>
      <c r="AG2" s="9">
        <v>2</v>
      </c>
      <c r="AH2" s="9">
        <v>3</v>
      </c>
      <c r="AI2" s="9">
        <v>4</v>
      </c>
      <c r="AJ2" s="9">
        <v>5</v>
      </c>
      <c r="AK2" s="9">
        <v>6</v>
      </c>
    </row>
    <row r="3" spans="2:49">
      <c r="B3" s="75" t="s">
        <v>127</v>
      </c>
      <c r="C3" s="75" t="s">
        <v>128</v>
      </c>
      <c r="D3" s="75" t="s">
        <v>129</v>
      </c>
      <c r="E3" s="75" t="s">
        <v>130</v>
      </c>
      <c r="F3" s="75" t="s">
        <v>131</v>
      </c>
      <c r="G3" s="75" t="s">
        <v>132</v>
      </c>
      <c r="H3" s="75" t="s">
        <v>133</v>
      </c>
      <c r="I3" s="75" t="s">
        <v>134</v>
      </c>
      <c r="J3" s="75" t="s">
        <v>135</v>
      </c>
      <c r="K3" s="75" t="s">
        <v>136</v>
      </c>
      <c r="L3" s="75" t="s">
        <v>137</v>
      </c>
      <c r="M3" s="75" t="s">
        <v>138</v>
      </c>
      <c r="N3" s="75" t="s">
        <v>139</v>
      </c>
      <c r="O3" s="75" t="s">
        <v>140</v>
      </c>
      <c r="R3" s="82" t="s">
        <v>33</v>
      </c>
      <c r="S3" s="82" t="s">
        <v>141</v>
      </c>
      <c r="T3" s="82" t="s">
        <v>142</v>
      </c>
      <c r="U3" s="82" t="s">
        <v>143</v>
      </c>
      <c r="V3" s="82" t="s">
        <v>144</v>
      </c>
      <c r="W3" s="82" t="s">
        <v>145</v>
      </c>
      <c r="X3" s="82" t="s">
        <v>146</v>
      </c>
      <c r="Y3" s="82" t="s">
        <v>147</v>
      </c>
      <c r="Z3" s="82" t="s">
        <v>148</v>
      </c>
      <c r="AA3" s="82" t="s">
        <v>149</v>
      </c>
      <c r="AB3" s="82" t="s">
        <v>150</v>
      </c>
      <c r="AC3" s="82" t="s">
        <v>151</v>
      </c>
      <c r="AD3" s="88" t="s">
        <v>81</v>
      </c>
      <c r="AF3" s="82" t="s">
        <v>33</v>
      </c>
      <c r="AG3" s="82" t="s">
        <v>152</v>
      </c>
      <c r="AH3" s="82" t="s">
        <v>87</v>
      </c>
      <c r="AI3" s="82" t="s">
        <v>88</v>
      </c>
      <c r="AJ3" s="82" t="s">
        <v>153</v>
      </c>
      <c r="AK3" s="88" t="s">
        <v>81</v>
      </c>
      <c r="AM3" s="9">
        <v>1</v>
      </c>
      <c r="AN3" s="9">
        <v>2</v>
      </c>
      <c r="AO3" s="9">
        <v>3</v>
      </c>
      <c r="AP3" s="9">
        <v>4</v>
      </c>
      <c r="AQ3" s="9">
        <v>5</v>
      </c>
      <c r="AR3" s="9">
        <v>6</v>
      </c>
      <c r="AS3" s="9">
        <v>7</v>
      </c>
      <c r="AT3" s="9">
        <v>8</v>
      </c>
      <c r="AU3" s="9">
        <v>9</v>
      </c>
      <c r="AV3" s="9">
        <v>10</v>
      </c>
      <c r="AW3" s="9">
        <v>11</v>
      </c>
    </row>
    <row r="4" spans="2:49">
      <c r="B4" s="76" t="s">
        <v>154</v>
      </c>
      <c r="C4" s="77">
        <v>0</v>
      </c>
      <c r="D4" s="77">
        <v>0</v>
      </c>
      <c r="E4" s="77">
        <v>0</v>
      </c>
      <c r="F4" s="77">
        <v>0</v>
      </c>
      <c r="G4" s="77">
        <v>0</v>
      </c>
      <c r="H4" s="77">
        <v>0</v>
      </c>
      <c r="I4" s="77">
        <v>1</v>
      </c>
      <c r="J4" s="78"/>
      <c r="K4" s="78"/>
      <c r="L4" s="78"/>
      <c r="M4" s="78"/>
      <c r="N4" s="78"/>
      <c r="O4" s="77">
        <f>SUM(C4:N4)</f>
        <v>1</v>
      </c>
      <c r="R4" s="1" t="s">
        <v>83</v>
      </c>
      <c r="S4" s="89"/>
      <c r="T4" s="89">
        <f>IF(AN6=3,10%,0)</f>
        <v>0.1</v>
      </c>
      <c r="U4" s="89">
        <f t="shared" ref="U4:AC18" si="0">IF(AO6=3,10%,0)</f>
        <v>0.1</v>
      </c>
      <c r="V4" s="89">
        <f t="shared" si="0"/>
        <v>0.1</v>
      </c>
      <c r="W4" s="89">
        <f t="shared" si="0"/>
        <v>0.1</v>
      </c>
      <c r="X4" s="89">
        <f t="shared" si="0"/>
        <v>0.1</v>
      </c>
      <c r="Y4" s="89">
        <f t="shared" si="0"/>
        <v>0</v>
      </c>
      <c r="Z4" s="89">
        <f t="shared" si="0"/>
        <v>0</v>
      </c>
      <c r="AA4" s="89">
        <f t="shared" si="0"/>
        <v>0</v>
      </c>
      <c r="AB4" s="89">
        <f t="shared" si="0"/>
        <v>0</v>
      </c>
      <c r="AC4" s="89">
        <f t="shared" si="0"/>
        <v>0</v>
      </c>
      <c r="AD4" s="89">
        <f>SUM(S4:AC4)</f>
        <v>0.5</v>
      </c>
      <c r="AF4" s="1" t="s">
        <v>83</v>
      </c>
      <c r="AG4" s="81">
        <v>0.25</v>
      </c>
      <c r="AH4" s="81">
        <v>0.25</v>
      </c>
      <c r="AI4" s="81" t="s">
        <v>107</v>
      </c>
      <c r="AJ4" s="81" t="s">
        <v>107</v>
      </c>
      <c r="AK4" s="89">
        <f>SUM(AG4:AJ4)</f>
        <v>0.5</v>
      </c>
      <c r="AN4" s="213" t="s">
        <v>155</v>
      </c>
      <c r="AO4" s="213" t="s">
        <v>156</v>
      </c>
      <c r="AP4" s="213" t="s">
        <v>157</v>
      </c>
      <c r="AQ4" s="213" t="s">
        <v>158</v>
      </c>
      <c r="AR4" s="213" t="s">
        <v>159</v>
      </c>
      <c r="AS4" s="213" t="s">
        <v>160</v>
      </c>
      <c r="AT4" s="213" t="s">
        <v>161</v>
      </c>
      <c r="AU4" s="213" t="s">
        <v>162</v>
      </c>
      <c r="AV4" s="213" t="s">
        <v>163</v>
      </c>
      <c r="AW4" s="213" t="s">
        <v>164</v>
      </c>
    </row>
    <row r="5" spans="2:49">
      <c r="B5" s="76" t="s">
        <v>110</v>
      </c>
      <c r="C5" s="77">
        <v>22</v>
      </c>
      <c r="D5" s="77">
        <v>17</v>
      </c>
      <c r="E5" s="77">
        <v>36</v>
      </c>
      <c r="F5" s="77">
        <v>26</v>
      </c>
      <c r="G5" s="77">
        <v>11</v>
      </c>
      <c r="H5" s="77">
        <v>29</v>
      </c>
      <c r="I5" s="77">
        <v>25</v>
      </c>
      <c r="J5" s="78"/>
      <c r="K5" s="78"/>
      <c r="L5" s="78"/>
      <c r="M5" s="78"/>
      <c r="N5" s="78"/>
      <c r="O5" s="77">
        <f t="shared" ref="O5:O35" si="1">SUM(C5:N5)</f>
        <v>166</v>
      </c>
      <c r="R5" s="1" t="s">
        <v>89</v>
      </c>
      <c r="S5" s="89"/>
      <c r="T5" s="89">
        <f t="shared" ref="T5:T18" si="2">IF(AN7=3,10%,0)</f>
        <v>0.1</v>
      </c>
      <c r="U5" s="89">
        <f t="shared" si="0"/>
        <v>0.1</v>
      </c>
      <c r="V5" s="89">
        <f t="shared" si="0"/>
        <v>0.1</v>
      </c>
      <c r="W5" s="89">
        <f t="shared" si="0"/>
        <v>0.1</v>
      </c>
      <c r="X5" s="89">
        <f t="shared" si="0"/>
        <v>0.1</v>
      </c>
      <c r="Y5" s="89">
        <f t="shared" si="0"/>
        <v>0</v>
      </c>
      <c r="Z5" s="89">
        <f t="shared" si="0"/>
        <v>0</v>
      </c>
      <c r="AA5" s="89">
        <f t="shared" si="0"/>
        <v>0</v>
      </c>
      <c r="AB5" s="89">
        <f t="shared" si="0"/>
        <v>0</v>
      </c>
      <c r="AC5" s="89">
        <f t="shared" si="0"/>
        <v>0</v>
      </c>
      <c r="AD5" s="89">
        <f t="shared" ref="AD5:AD18" si="3">SUM(S5:AC5)</f>
        <v>0.5</v>
      </c>
      <c r="AF5" s="1" t="s">
        <v>89</v>
      </c>
      <c r="AG5" s="81">
        <v>0.25</v>
      </c>
      <c r="AH5" s="81">
        <v>0.25</v>
      </c>
      <c r="AI5" s="81" t="s">
        <v>107</v>
      </c>
      <c r="AJ5" s="81" t="s">
        <v>107</v>
      </c>
      <c r="AK5" s="89">
        <f t="shared" ref="AK5:AK18" si="4">SUM(AG5:AJ5)</f>
        <v>0.5</v>
      </c>
      <c r="AM5" s="87" t="s">
        <v>33</v>
      </c>
      <c r="AN5" s="213" t="s">
        <v>165</v>
      </c>
      <c r="AO5" s="213" t="s">
        <v>166</v>
      </c>
      <c r="AP5" s="213" t="s">
        <v>167</v>
      </c>
      <c r="AQ5" s="213" t="s">
        <v>168</v>
      </c>
      <c r="AR5" s="213" t="s">
        <v>169</v>
      </c>
      <c r="AS5" s="213" t="s">
        <v>170</v>
      </c>
      <c r="AT5" s="213" t="s">
        <v>171</v>
      </c>
      <c r="AU5" s="213" t="s">
        <v>172</v>
      </c>
      <c r="AV5" s="213" t="s">
        <v>173</v>
      </c>
      <c r="AW5" s="213" t="s">
        <v>174</v>
      </c>
    </row>
    <row r="6" spans="2:49">
      <c r="B6" s="76" t="s">
        <v>175</v>
      </c>
      <c r="C6" s="77">
        <v>8</v>
      </c>
      <c r="D6" s="77">
        <v>4</v>
      </c>
      <c r="E6" s="77">
        <v>6</v>
      </c>
      <c r="F6" s="77">
        <v>0</v>
      </c>
      <c r="G6" s="77">
        <v>9</v>
      </c>
      <c r="H6" s="77">
        <v>6</v>
      </c>
      <c r="I6" s="77">
        <v>4</v>
      </c>
      <c r="J6" s="78"/>
      <c r="K6" s="78"/>
      <c r="L6" s="78"/>
      <c r="M6" s="78"/>
      <c r="N6" s="78"/>
      <c r="O6" s="77">
        <f t="shared" si="1"/>
        <v>37</v>
      </c>
      <c r="R6" s="1" t="s">
        <v>91</v>
      </c>
      <c r="S6" s="89"/>
      <c r="T6" s="89">
        <f t="shared" si="2"/>
        <v>0.1</v>
      </c>
      <c r="U6" s="89">
        <f t="shared" si="0"/>
        <v>0.1</v>
      </c>
      <c r="V6" s="89">
        <f t="shared" si="0"/>
        <v>0.1</v>
      </c>
      <c r="W6" s="89">
        <f t="shared" si="0"/>
        <v>0.1</v>
      </c>
      <c r="X6" s="89">
        <f t="shared" si="0"/>
        <v>0.1</v>
      </c>
      <c r="Y6" s="89">
        <f t="shared" si="0"/>
        <v>0</v>
      </c>
      <c r="Z6" s="89">
        <f t="shared" si="0"/>
        <v>0</v>
      </c>
      <c r="AA6" s="89">
        <f t="shared" si="0"/>
        <v>0</v>
      </c>
      <c r="AB6" s="89">
        <f t="shared" si="0"/>
        <v>0</v>
      </c>
      <c r="AC6" s="89">
        <f t="shared" si="0"/>
        <v>0</v>
      </c>
      <c r="AD6" s="89">
        <f t="shared" si="3"/>
        <v>0.5</v>
      </c>
      <c r="AF6" s="1" t="s">
        <v>91</v>
      </c>
      <c r="AG6" s="81">
        <v>0.25</v>
      </c>
      <c r="AH6" s="81">
        <v>0.25</v>
      </c>
      <c r="AI6" s="81" t="s">
        <v>107</v>
      </c>
      <c r="AJ6" s="81" t="s">
        <v>107</v>
      </c>
      <c r="AK6" s="89">
        <f t="shared" si="4"/>
        <v>0.5</v>
      </c>
      <c r="AM6" s="1" t="s">
        <v>83</v>
      </c>
      <c r="AN6" s="80">
        <v>3</v>
      </c>
      <c r="AO6" s="80">
        <v>3</v>
      </c>
      <c r="AP6" s="80">
        <v>3</v>
      </c>
      <c r="AQ6" s="80">
        <v>3</v>
      </c>
      <c r="AR6" s="80">
        <v>3</v>
      </c>
      <c r="AS6" s="80" t="s">
        <v>107</v>
      </c>
      <c r="AT6" s="80" t="s">
        <v>107</v>
      </c>
      <c r="AU6" s="80" t="s">
        <v>107</v>
      </c>
      <c r="AV6" s="80" t="s">
        <v>107</v>
      </c>
      <c r="AW6" s="80" t="s">
        <v>107</v>
      </c>
    </row>
    <row r="7" spans="2:49">
      <c r="B7" s="76" t="s">
        <v>176</v>
      </c>
      <c r="C7" s="77">
        <v>15</v>
      </c>
      <c r="D7" s="77">
        <v>12</v>
      </c>
      <c r="E7" s="77">
        <v>13</v>
      </c>
      <c r="F7" s="77">
        <v>6</v>
      </c>
      <c r="G7" s="77">
        <v>9</v>
      </c>
      <c r="H7" s="77">
        <v>31</v>
      </c>
      <c r="I7" s="77">
        <v>15</v>
      </c>
      <c r="J7" s="78"/>
      <c r="K7" s="78"/>
      <c r="L7" s="78"/>
      <c r="M7" s="78"/>
      <c r="N7" s="78"/>
      <c r="O7" s="77">
        <f t="shared" si="1"/>
        <v>101</v>
      </c>
      <c r="R7" s="1" t="s">
        <v>92</v>
      </c>
      <c r="S7" s="89"/>
      <c r="T7" s="89">
        <f t="shared" si="2"/>
        <v>0.1</v>
      </c>
      <c r="U7" s="89">
        <f t="shared" si="0"/>
        <v>0.1</v>
      </c>
      <c r="V7" s="89">
        <f t="shared" si="0"/>
        <v>0.1</v>
      </c>
      <c r="W7" s="89">
        <f t="shared" si="0"/>
        <v>0.1</v>
      </c>
      <c r="X7" s="89">
        <f t="shared" si="0"/>
        <v>0.1</v>
      </c>
      <c r="Y7" s="89">
        <f t="shared" si="0"/>
        <v>0</v>
      </c>
      <c r="Z7" s="89">
        <f t="shared" si="0"/>
        <v>0</v>
      </c>
      <c r="AA7" s="89">
        <f t="shared" si="0"/>
        <v>0</v>
      </c>
      <c r="AB7" s="89">
        <f t="shared" si="0"/>
        <v>0</v>
      </c>
      <c r="AC7" s="89">
        <f t="shared" si="0"/>
        <v>0</v>
      </c>
      <c r="AD7" s="89">
        <f t="shared" si="3"/>
        <v>0.5</v>
      </c>
      <c r="AF7" s="1" t="s">
        <v>92</v>
      </c>
      <c r="AG7" s="81">
        <v>0.25</v>
      </c>
      <c r="AH7" s="81">
        <v>0.25</v>
      </c>
      <c r="AI7" s="81" t="s">
        <v>107</v>
      </c>
      <c r="AJ7" s="81" t="s">
        <v>107</v>
      </c>
      <c r="AK7" s="89">
        <f t="shared" si="4"/>
        <v>0.5</v>
      </c>
      <c r="AM7" s="1" t="s">
        <v>89</v>
      </c>
      <c r="AN7" s="80">
        <v>3</v>
      </c>
      <c r="AO7" s="80">
        <v>3</v>
      </c>
      <c r="AP7" s="80">
        <v>3</v>
      </c>
      <c r="AQ7" s="80">
        <v>3</v>
      </c>
      <c r="AR7" s="80">
        <v>3</v>
      </c>
      <c r="AS7" s="80" t="s">
        <v>107</v>
      </c>
      <c r="AT7" s="80" t="s">
        <v>107</v>
      </c>
      <c r="AU7" s="80" t="s">
        <v>107</v>
      </c>
      <c r="AV7" s="80" t="s">
        <v>107</v>
      </c>
      <c r="AW7" s="80" t="s">
        <v>107</v>
      </c>
    </row>
    <row r="8" spans="2:49">
      <c r="B8" s="76" t="s">
        <v>177</v>
      </c>
      <c r="C8" s="77">
        <v>2</v>
      </c>
      <c r="D8" s="77">
        <v>2</v>
      </c>
      <c r="E8" s="77">
        <v>0</v>
      </c>
      <c r="F8" s="77">
        <v>1</v>
      </c>
      <c r="G8" s="77">
        <v>1</v>
      </c>
      <c r="H8" s="77">
        <v>2</v>
      </c>
      <c r="I8" s="77">
        <v>2</v>
      </c>
      <c r="J8" s="78"/>
      <c r="K8" s="78"/>
      <c r="L8" s="78"/>
      <c r="M8" s="78"/>
      <c r="N8" s="78"/>
      <c r="O8" s="77">
        <f t="shared" si="1"/>
        <v>10</v>
      </c>
      <c r="R8" s="1" t="s">
        <v>0</v>
      </c>
      <c r="S8" s="89"/>
      <c r="T8" s="89">
        <f t="shared" si="2"/>
        <v>0.1</v>
      </c>
      <c r="U8" s="89">
        <f t="shared" si="0"/>
        <v>0.1</v>
      </c>
      <c r="V8" s="89">
        <f t="shared" si="0"/>
        <v>0.1</v>
      </c>
      <c r="W8" s="89">
        <f t="shared" si="0"/>
        <v>0.1</v>
      </c>
      <c r="X8" s="89">
        <f t="shared" si="0"/>
        <v>0.1</v>
      </c>
      <c r="Y8" s="89">
        <f t="shared" si="0"/>
        <v>0</v>
      </c>
      <c r="Z8" s="89">
        <f t="shared" si="0"/>
        <v>0</v>
      </c>
      <c r="AA8" s="89">
        <f t="shared" si="0"/>
        <v>0</v>
      </c>
      <c r="AB8" s="89">
        <f t="shared" si="0"/>
        <v>0</v>
      </c>
      <c r="AC8" s="89">
        <f t="shared" si="0"/>
        <v>0</v>
      </c>
      <c r="AD8" s="89">
        <f t="shared" si="3"/>
        <v>0.5</v>
      </c>
      <c r="AF8" s="1" t="s">
        <v>0</v>
      </c>
      <c r="AG8" s="81">
        <v>0.25</v>
      </c>
      <c r="AH8" s="81">
        <v>0.25</v>
      </c>
      <c r="AI8" s="81" t="s">
        <v>107</v>
      </c>
      <c r="AJ8" s="81" t="s">
        <v>107</v>
      </c>
      <c r="AK8" s="89">
        <f t="shared" si="4"/>
        <v>0.5</v>
      </c>
      <c r="AM8" s="1" t="s">
        <v>91</v>
      </c>
      <c r="AN8" s="80">
        <v>3</v>
      </c>
      <c r="AO8" s="80">
        <v>3</v>
      </c>
      <c r="AP8" s="80">
        <v>3</v>
      </c>
      <c r="AQ8" s="80">
        <v>3</v>
      </c>
      <c r="AR8" s="80">
        <v>3</v>
      </c>
      <c r="AS8" s="80" t="s">
        <v>107</v>
      </c>
      <c r="AT8" s="80" t="s">
        <v>107</v>
      </c>
      <c r="AU8" s="80" t="s">
        <v>107</v>
      </c>
      <c r="AV8" s="80" t="s">
        <v>107</v>
      </c>
      <c r="AW8" s="80" t="s">
        <v>107</v>
      </c>
    </row>
    <row r="9" spans="2:49">
      <c r="B9" s="76" t="s">
        <v>178</v>
      </c>
      <c r="C9" s="77">
        <v>16</v>
      </c>
      <c r="D9" s="77">
        <v>8</v>
      </c>
      <c r="E9" s="77">
        <v>9</v>
      </c>
      <c r="F9" s="77">
        <v>6</v>
      </c>
      <c r="G9" s="77">
        <v>5</v>
      </c>
      <c r="H9" s="77">
        <v>11</v>
      </c>
      <c r="I9" s="77">
        <v>0</v>
      </c>
      <c r="J9" s="78"/>
      <c r="K9" s="78"/>
      <c r="L9" s="78"/>
      <c r="M9" s="78"/>
      <c r="N9" s="78"/>
      <c r="O9" s="77">
        <f t="shared" si="1"/>
        <v>55</v>
      </c>
      <c r="R9" s="1" t="s">
        <v>94</v>
      </c>
      <c r="S9" s="89"/>
      <c r="T9" s="89">
        <f t="shared" si="2"/>
        <v>0.1</v>
      </c>
      <c r="U9" s="89">
        <f t="shared" si="0"/>
        <v>0.1</v>
      </c>
      <c r="V9" s="89">
        <f t="shared" si="0"/>
        <v>0.1</v>
      </c>
      <c r="W9" s="89">
        <f t="shared" si="0"/>
        <v>0.1</v>
      </c>
      <c r="X9" s="89">
        <f t="shared" si="0"/>
        <v>0.1</v>
      </c>
      <c r="Y9" s="89">
        <f t="shared" si="0"/>
        <v>0</v>
      </c>
      <c r="Z9" s="89">
        <f t="shared" si="0"/>
        <v>0</v>
      </c>
      <c r="AA9" s="89">
        <f t="shared" si="0"/>
        <v>0</v>
      </c>
      <c r="AB9" s="89">
        <f t="shared" si="0"/>
        <v>0</v>
      </c>
      <c r="AC9" s="89">
        <f t="shared" si="0"/>
        <v>0</v>
      </c>
      <c r="AD9" s="89">
        <f t="shared" si="3"/>
        <v>0.5</v>
      </c>
      <c r="AF9" s="1" t="s">
        <v>94</v>
      </c>
      <c r="AG9" s="81">
        <v>0.25</v>
      </c>
      <c r="AH9" s="81">
        <v>0.25</v>
      </c>
      <c r="AI9" s="81" t="s">
        <v>107</v>
      </c>
      <c r="AJ9" s="81" t="s">
        <v>107</v>
      </c>
      <c r="AK9" s="89">
        <f t="shared" si="4"/>
        <v>0.5</v>
      </c>
      <c r="AM9" s="1" t="s">
        <v>92</v>
      </c>
      <c r="AN9" s="80">
        <v>3</v>
      </c>
      <c r="AO9" s="80">
        <v>3</v>
      </c>
      <c r="AP9" s="80">
        <v>3</v>
      </c>
      <c r="AQ9" s="80">
        <v>3</v>
      </c>
      <c r="AR9" s="80">
        <v>3</v>
      </c>
      <c r="AS9" s="80" t="s">
        <v>107</v>
      </c>
      <c r="AT9" s="80" t="s">
        <v>107</v>
      </c>
      <c r="AU9" s="80" t="s">
        <v>107</v>
      </c>
      <c r="AV9" s="80" t="s">
        <v>107</v>
      </c>
      <c r="AW9" s="80" t="s">
        <v>107</v>
      </c>
    </row>
    <row r="10" spans="2:49">
      <c r="B10" s="76" t="s">
        <v>111</v>
      </c>
      <c r="C10" s="77">
        <v>1</v>
      </c>
      <c r="D10" s="77">
        <v>5</v>
      </c>
      <c r="E10" s="77">
        <v>3</v>
      </c>
      <c r="F10" s="77">
        <v>9</v>
      </c>
      <c r="G10" s="77">
        <v>3</v>
      </c>
      <c r="H10" s="77">
        <v>0</v>
      </c>
      <c r="I10" s="77">
        <v>1</v>
      </c>
      <c r="J10" s="78"/>
      <c r="K10" s="78"/>
      <c r="L10" s="78"/>
      <c r="M10" s="78"/>
      <c r="N10" s="78"/>
      <c r="O10" s="77">
        <f t="shared" si="1"/>
        <v>22</v>
      </c>
      <c r="R10" s="1" t="s">
        <v>96</v>
      </c>
      <c r="S10" s="89"/>
      <c r="T10" s="89">
        <f t="shared" si="2"/>
        <v>0.1</v>
      </c>
      <c r="U10" s="89">
        <f t="shared" si="0"/>
        <v>0.1</v>
      </c>
      <c r="V10" s="89">
        <f t="shared" si="0"/>
        <v>0.1</v>
      </c>
      <c r="W10" s="89">
        <f t="shared" si="0"/>
        <v>0.1</v>
      </c>
      <c r="X10" s="89">
        <f t="shared" si="0"/>
        <v>0.1</v>
      </c>
      <c r="Y10" s="89">
        <f t="shared" si="0"/>
        <v>0</v>
      </c>
      <c r="Z10" s="89">
        <f t="shared" si="0"/>
        <v>0</v>
      </c>
      <c r="AA10" s="89">
        <f t="shared" si="0"/>
        <v>0</v>
      </c>
      <c r="AB10" s="89">
        <f t="shared" si="0"/>
        <v>0</v>
      </c>
      <c r="AC10" s="89">
        <f t="shared" si="0"/>
        <v>0</v>
      </c>
      <c r="AD10" s="89">
        <f t="shared" si="3"/>
        <v>0.5</v>
      </c>
      <c r="AF10" s="1" t="s">
        <v>96</v>
      </c>
      <c r="AG10" s="81">
        <v>0.25</v>
      </c>
      <c r="AH10" s="81">
        <v>0.25</v>
      </c>
      <c r="AI10" s="81" t="s">
        <v>107</v>
      </c>
      <c r="AJ10" s="81" t="s">
        <v>107</v>
      </c>
      <c r="AK10" s="89">
        <f t="shared" si="4"/>
        <v>0.5</v>
      </c>
      <c r="AM10" s="1" t="s">
        <v>0</v>
      </c>
      <c r="AN10" s="80">
        <v>3</v>
      </c>
      <c r="AO10" s="80">
        <v>3</v>
      </c>
      <c r="AP10" s="80">
        <v>3</v>
      </c>
      <c r="AQ10" s="80">
        <v>3</v>
      </c>
      <c r="AR10" s="80">
        <v>3</v>
      </c>
      <c r="AS10" s="80" t="s">
        <v>107</v>
      </c>
      <c r="AT10" s="80" t="s">
        <v>107</v>
      </c>
      <c r="AU10" s="80" t="s">
        <v>107</v>
      </c>
      <c r="AV10" s="80" t="s">
        <v>107</v>
      </c>
      <c r="AW10" s="80" t="s">
        <v>107</v>
      </c>
    </row>
    <row r="11" spans="2:49">
      <c r="B11" s="76" t="s">
        <v>103</v>
      </c>
      <c r="C11" s="77">
        <v>111</v>
      </c>
      <c r="D11" s="77">
        <v>117</v>
      </c>
      <c r="E11" s="77">
        <v>92</v>
      </c>
      <c r="F11" s="77">
        <v>53</v>
      </c>
      <c r="G11" s="77">
        <v>66</v>
      </c>
      <c r="H11" s="77">
        <v>104</v>
      </c>
      <c r="I11" s="77">
        <v>74</v>
      </c>
      <c r="J11" s="78"/>
      <c r="K11" s="78"/>
      <c r="L11" s="78"/>
      <c r="M11" s="78"/>
      <c r="N11" s="78"/>
      <c r="O11" s="77">
        <f t="shared" si="1"/>
        <v>617</v>
      </c>
      <c r="R11" s="1" t="s">
        <v>97</v>
      </c>
      <c r="S11" s="89"/>
      <c r="T11" s="89">
        <f t="shared" si="2"/>
        <v>0.1</v>
      </c>
      <c r="U11" s="89">
        <f t="shared" si="0"/>
        <v>0.1</v>
      </c>
      <c r="V11" s="89">
        <f t="shared" si="0"/>
        <v>0.1</v>
      </c>
      <c r="W11" s="89">
        <f t="shared" si="0"/>
        <v>0.1</v>
      </c>
      <c r="X11" s="89">
        <f t="shared" si="0"/>
        <v>0.1</v>
      </c>
      <c r="Y11" s="89">
        <f t="shared" si="0"/>
        <v>0</v>
      </c>
      <c r="Z11" s="89">
        <f t="shared" si="0"/>
        <v>0</v>
      </c>
      <c r="AA11" s="89">
        <f t="shared" si="0"/>
        <v>0</v>
      </c>
      <c r="AB11" s="89">
        <f t="shared" si="0"/>
        <v>0</v>
      </c>
      <c r="AC11" s="89">
        <f t="shared" si="0"/>
        <v>0</v>
      </c>
      <c r="AD11" s="89">
        <f t="shared" si="3"/>
        <v>0.5</v>
      </c>
      <c r="AF11" s="1" t="s">
        <v>97</v>
      </c>
      <c r="AG11" s="81">
        <v>0.25</v>
      </c>
      <c r="AH11" s="81">
        <v>0.25</v>
      </c>
      <c r="AI11" s="81" t="s">
        <v>107</v>
      </c>
      <c r="AJ11" s="81" t="s">
        <v>107</v>
      </c>
      <c r="AK11" s="89">
        <f t="shared" si="4"/>
        <v>0.5</v>
      </c>
      <c r="AM11" s="1" t="s">
        <v>94</v>
      </c>
      <c r="AN11" s="80">
        <v>3</v>
      </c>
      <c r="AO11" s="80">
        <v>3</v>
      </c>
      <c r="AP11" s="80">
        <v>3</v>
      </c>
      <c r="AQ11" s="80">
        <v>3</v>
      </c>
      <c r="AR11" s="80">
        <v>3</v>
      </c>
      <c r="AS11" s="80" t="s">
        <v>107</v>
      </c>
      <c r="AT11" s="80" t="s">
        <v>107</v>
      </c>
      <c r="AU11" s="80" t="s">
        <v>107</v>
      </c>
      <c r="AV11" s="80" t="s">
        <v>107</v>
      </c>
      <c r="AW11" s="80" t="s">
        <v>107</v>
      </c>
    </row>
    <row r="12" spans="2:49">
      <c r="B12" s="76" t="s">
        <v>83</v>
      </c>
      <c r="C12" s="77">
        <v>1019</v>
      </c>
      <c r="D12" s="77">
        <v>973</v>
      </c>
      <c r="E12" s="77">
        <v>1072</v>
      </c>
      <c r="F12" s="77">
        <v>1181</v>
      </c>
      <c r="G12" s="77">
        <v>1055</v>
      </c>
      <c r="H12" s="77">
        <v>1295</v>
      </c>
      <c r="I12" s="77">
        <v>1288</v>
      </c>
      <c r="J12" s="78"/>
      <c r="K12" s="78"/>
      <c r="L12" s="78"/>
      <c r="M12" s="78"/>
      <c r="N12" s="78"/>
      <c r="O12" s="77">
        <f t="shared" si="1"/>
        <v>7883</v>
      </c>
      <c r="R12" s="1" t="s">
        <v>98</v>
      </c>
      <c r="S12" s="89"/>
      <c r="T12" s="89">
        <f t="shared" si="2"/>
        <v>0.1</v>
      </c>
      <c r="U12" s="89">
        <f t="shared" si="0"/>
        <v>0.1</v>
      </c>
      <c r="V12" s="89">
        <f t="shared" si="0"/>
        <v>0.1</v>
      </c>
      <c r="W12" s="89">
        <f t="shared" si="0"/>
        <v>0.1</v>
      </c>
      <c r="X12" s="89">
        <f t="shared" si="0"/>
        <v>0.1</v>
      </c>
      <c r="Y12" s="89">
        <f t="shared" si="0"/>
        <v>0</v>
      </c>
      <c r="Z12" s="89">
        <f t="shared" si="0"/>
        <v>0</v>
      </c>
      <c r="AA12" s="89">
        <f t="shared" si="0"/>
        <v>0</v>
      </c>
      <c r="AB12" s="89">
        <f t="shared" si="0"/>
        <v>0</v>
      </c>
      <c r="AC12" s="89">
        <f t="shared" si="0"/>
        <v>0</v>
      </c>
      <c r="AD12" s="89">
        <f t="shared" si="3"/>
        <v>0.5</v>
      </c>
      <c r="AF12" s="1" t="s">
        <v>98</v>
      </c>
      <c r="AG12" s="81">
        <v>0.25</v>
      </c>
      <c r="AH12" s="81">
        <v>0.25</v>
      </c>
      <c r="AI12" s="81" t="s">
        <v>107</v>
      </c>
      <c r="AJ12" s="81" t="s">
        <v>107</v>
      </c>
      <c r="AK12" s="89">
        <f t="shared" si="4"/>
        <v>0.5</v>
      </c>
      <c r="AM12" s="1" t="s">
        <v>96</v>
      </c>
      <c r="AN12" s="80">
        <v>3</v>
      </c>
      <c r="AO12" s="80">
        <v>3</v>
      </c>
      <c r="AP12" s="80">
        <v>3</v>
      </c>
      <c r="AQ12" s="80">
        <v>3</v>
      </c>
      <c r="AR12" s="80">
        <v>3</v>
      </c>
      <c r="AS12" s="80" t="s">
        <v>107</v>
      </c>
      <c r="AT12" s="80" t="s">
        <v>107</v>
      </c>
      <c r="AU12" s="80" t="s">
        <v>107</v>
      </c>
      <c r="AV12" s="80" t="s">
        <v>107</v>
      </c>
      <c r="AW12" s="80" t="s">
        <v>107</v>
      </c>
    </row>
    <row r="13" spans="2:49">
      <c r="B13" s="76" t="s">
        <v>91</v>
      </c>
      <c r="C13" s="77">
        <v>719</v>
      </c>
      <c r="D13" s="77">
        <v>702</v>
      </c>
      <c r="E13" s="77">
        <v>631</v>
      </c>
      <c r="F13" s="77">
        <v>515</v>
      </c>
      <c r="G13" s="77">
        <v>486</v>
      </c>
      <c r="H13" s="77">
        <v>501</v>
      </c>
      <c r="I13" s="77">
        <v>479</v>
      </c>
      <c r="J13" s="78"/>
      <c r="K13" s="78"/>
      <c r="L13" s="78"/>
      <c r="M13" s="78"/>
      <c r="N13" s="78"/>
      <c r="O13" s="77">
        <f t="shared" si="1"/>
        <v>4033</v>
      </c>
      <c r="R13" s="1" t="s">
        <v>99</v>
      </c>
      <c r="S13" s="89"/>
      <c r="T13" s="89">
        <f t="shared" si="2"/>
        <v>0.1</v>
      </c>
      <c r="U13" s="89">
        <f t="shared" si="0"/>
        <v>0.1</v>
      </c>
      <c r="V13" s="89">
        <f t="shared" si="0"/>
        <v>0.1</v>
      </c>
      <c r="W13" s="89">
        <f t="shared" si="0"/>
        <v>0.1</v>
      </c>
      <c r="X13" s="89">
        <f t="shared" si="0"/>
        <v>0.1</v>
      </c>
      <c r="Y13" s="89">
        <f t="shared" si="0"/>
        <v>0.1</v>
      </c>
      <c r="Z13" s="89">
        <f t="shared" si="0"/>
        <v>0</v>
      </c>
      <c r="AA13" s="89">
        <f t="shared" si="0"/>
        <v>0</v>
      </c>
      <c r="AB13" s="89">
        <f t="shared" si="0"/>
        <v>0</v>
      </c>
      <c r="AC13" s="89">
        <f t="shared" si="0"/>
        <v>0</v>
      </c>
      <c r="AD13" s="89">
        <f t="shared" si="3"/>
        <v>0.6</v>
      </c>
      <c r="AF13" s="1" t="s">
        <v>99</v>
      </c>
      <c r="AG13" s="81">
        <v>0.25</v>
      </c>
      <c r="AH13" s="81">
        <v>0.25</v>
      </c>
      <c r="AI13" s="81" t="s">
        <v>107</v>
      </c>
      <c r="AJ13" s="81" t="s">
        <v>107</v>
      </c>
      <c r="AK13" s="89">
        <f t="shared" si="4"/>
        <v>0.5</v>
      </c>
      <c r="AM13" s="1" t="s">
        <v>97</v>
      </c>
      <c r="AN13" s="80">
        <v>3</v>
      </c>
      <c r="AO13" s="80">
        <v>3</v>
      </c>
      <c r="AP13" s="80">
        <v>3</v>
      </c>
      <c r="AQ13" s="80">
        <v>3</v>
      </c>
      <c r="AR13" s="80">
        <v>3</v>
      </c>
      <c r="AS13" s="80" t="s">
        <v>107</v>
      </c>
      <c r="AT13" s="80" t="s">
        <v>107</v>
      </c>
      <c r="AU13" s="80" t="s">
        <v>107</v>
      </c>
      <c r="AV13" s="80" t="s">
        <v>107</v>
      </c>
      <c r="AW13" s="80" t="s">
        <v>107</v>
      </c>
    </row>
    <row r="14" spans="2:49">
      <c r="B14" s="76" t="s">
        <v>112</v>
      </c>
      <c r="C14" s="77">
        <v>17</v>
      </c>
      <c r="D14" s="77">
        <v>19</v>
      </c>
      <c r="E14" s="77">
        <v>30</v>
      </c>
      <c r="F14" s="77">
        <v>20</v>
      </c>
      <c r="G14" s="77">
        <v>20</v>
      </c>
      <c r="H14" s="77">
        <v>34</v>
      </c>
      <c r="I14" s="77">
        <v>32</v>
      </c>
      <c r="J14" s="78"/>
      <c r="K14" s="78"/>
      <c r="L14" s="78"/>
      <c r="M14" s="78"/>
      <c r="N14" s="78"/>
      <c r="O14" s="77">
        <f t="shared" si="1"/>
        <v>172</v>
      </c>
      <c r="R14" s="1" t="s">
        <v>100</v>
      </c>
      <c r="S14" s="89"/>
      <c r="T14" s="89">
        <f t="shared" si="2"/>
        <v>0.1</v>
      </c>
      <c r="U14" s="89">
        <f t="shared" si="0"/>
        <v>0.1</v>
      </c>
      <c r="V14" s="89">
        <f t="shared" si="0"/>
        <v>0.1</v>
      </c>
      <c r="W14" s="89">
        <f t="shared" si="0"/>
        <v>0.1</v>
      </c>
      <c r="X14" s="89">
        <f t="shared" si="0"/>
        <v>0.1</v>
      </c>
      <c r="Y14" s="89">
        <f t="shared" si="0"/>
        <v>0</v>
      </c>
      <c r="Z14" s="89">
        <f t="shared" si="0"/>
        <v>0</v>
      </c>
      <c r="AA14" s="89">
        <f t="shared" si="0"/>
        <v>0</v>
      </c>
      <c r="AB14" s="89">
        <f t="shared" si="0"/>
        <v>0</v>
      </c>
      <c r="AC14" s="89">
        <f t="shared" si="0"/>
        <v>0</v>
      </c>
      <c r="AD14" s="89">
        <f t="shared" si="3"/>
        <v>0.5</v>
      </c>
      <c r="AF14" s="1" t="s">
        <v>100</v>
      </c>
      <c r="AG14" s="81" t="s">
        <v>107</v>
      </c>
      <c r="AH14" s="81" t="s">
        <v>107</v>
      </c>
      <c r="AI14" s="81" t="s">
        <v>107</v>
      </c>
      <c r="AJ14" s="81" t="s">
        <v>107</v>
      </c>
      <c r="AK14" s="89">
        <f t="shared" si="4"/>
        <v>0</v>
      </c>
      <c r="AM14" s="1" t="s">
        <v>98</v>
      </c>
      <c r="AN14" s="80">
        <v>3</v>
      </c>
      <c r="AO14" s="80">
        <v>3</v>
      </c>
      <c r="AP14" s="80">
        <v>3</v>
      </c>
      <c r="AQ14" s="80">
        <v>3</v>
      </c>
      <c r="AR14" s="80">
        <v>3</v>
      </c>
      <c r="AS14" s="80" t="s">
        <v>107</v>
      </c>
      <c r="AT14" s="80" t="s">
        <v>107</v>
      </c>
      <c r="AU14" s="80" t="s">
        <v>107</v>
      </c>
      <c r="AV14" s="80" t="s">
        <v>107</v>
      </c>
      <c r="AW14" s="80" t="s">
        <v>107</v>
      </c>
    </row>
    <row r="15" spans="2:49">
      <c r="B15" s="76" t="s">
        <v>179</v>
      </c>
      <c r="C15" s="77">
        <v>3</v>
      </c>
      <c r="D15" s="77">
        <v>2</v>
      </c>
      <c r="E15" s="77">
        <v>6</v>
      </c>
      <c r="F15" s="77">
        <v>7</v>
      </c>
      <c r="G15" s="77">
        <v>5</v>
      </c>
      <c r="H15" s="77">
        <v>2</v>
      </c>
      <c r="I15" s="77">
        <v>0</v>
      </c>
      <c r="J15" s="78"/>
      <c r="K15" s="78"/>
      <c r="L15" s="78"/>
      <c r="M15" s="78"/>
      <c r="N15" s="78"/>
      <c r="O15" s="77">
        <f t="shared" si="1"/>
        <v>25</v>
      </c>
      <c r="R15" s="1" t="s">
        <v>102</v>
      </c>
      <c r="S15" s="89"/>
      <c r="T15" s="89">
        <f t="shared" si="2"/>
        <v>0.1</v>
      </c>
      <c r="U15" s="89">
        <f t="shared" si="0"/>
        <v>0.1</v>
      </c>
      <c r="V15" s="89">
        <f t="shared" si="0"/>
        <v>0</v>
      </c>
      <c r="W15" s="89">
        <f t="shared" si="0"/>
        <v>0</v>
      </c>
      <c r="X15" s="89">
        <f t="shared" si="0"/>
        <v>0</v>
      </c>
      <c r="Y15" s="89">
        <f t="shared" si="0"/>
        <v>0</v>
      </c>
      <c r="Z15" s="89">
        <f t="shared" si="0"/>
        <v>0</v>
      </c>
      <c r="AA15" s="89">
        <f t="shared" si="0"/>
        <v>0</v>
      </c>
      <c r="AB15" s="89">
        <f t="shared" si="0"/>
        <v>0</v>
      </c>
      <c r="AC15" s="89">
        <f t="shared" si="0"/>
        <v>0</v>
      </c>
      <c r="AD15" s="89">
        <f t="shared" si="3"/>
        <v>0.2</v>
      </c>
      <c r="AF15" s="1" t="s">
        <v>102</v>
      </c>
      <c r="AG15" s="81" t="s">
        <v>107</v>
      </c>
      <c r="AH15" s="81" t="s">
        <v>107</v>
      </c>
      <c r="AI15" s="81" t="s">
        <v>107</v>
      </c>
      <c r="AJ15" s="81" t="s">
        <v>107</v>
      </c>
      <c r="AK15" s="89">
        <f t="shared" si="4"/>
        <v>0</v>
      </c>
      <c r="AM15" s="1" t="s">
        <v>99</v>
      </c>
      <c r="AN15" s="80">
        <v>3</v>
      </c>
      <c r="AO15" s="80">
        <v>3</v>
      </c>
      <c r="AP15" s="80">
        <v>3</v>
      </c>
      <c r="AQ15" s="80">
        <v>3</v>
      </c>
      <c r="AR15" s="80">
        <v>3</v>
      </c>
      <c r="AS15" s="80">
        <v>3</v>
      </c>
      <c r="AT15" s="80" t="s">
        <v>107</v>
      </c>
      <c r="AU15" s="80" t="s">
        <v>107</v>
      </c>
      <c r="AV15" s="80" t="s">
        <v>107</v>
      </c>
      <c r="AW15" s="80" t="s">
        <v>107</v>
      </c>
    </row>
    <row r="16" spans="2:49">
      <c r="B16" s="76" t="s">
        <v>99</v>
      </c>
      <c r="C16" s="77">
        <v>130</v>
      </c>
      <c r="D16" s="77">
        <v>130</v>
      </c>
      <c r="E16" s="77">
        <v>160</v>
      </c>
      <c r="F16" s="77">
        <v>150</v>
      </c>
      <c r="G16" s="77">
        <v>150</v>
      </c>
      <c r="H16" s="77">
        <v>145</v>
      </c>
      <c r="I16" s="77">
        <v>125</v>
      </c>
      <c r="J16" s="78"/>
      <c r="K16" s="78"/>
      <c r="L16" s="78"/>
      <c r="M16" s="78"/>
      <c r="N16" s="78"/>
      <c r="O16" s="77">
        <f t="shared" si="1"/>
        <v>990</v>
      </c>
      <c r="R16" s="1" t="s">
        <v>103</v>
      </c>
      <c r="S16" s="89"/>
      <c r="T16" s="89">
        <f t="shared" si="2"/>
        <v>0.1</v>
      </c>
      <c r="U16" s="89">
        <f t="shared" si="0"/>
        <v>0.1</v>
      </c>
      <c r="V16" s="89">
        <f t="shared" si="0"/>
        <v>0.1</v>
      </c>
      <c r="W16" s="89">
        <f t="shared" si="0"/>
        <v>0.1</v>
      </c>
      <c r="X16" s="89">
        <f t="shared" si="0"/>
        <v>0.1</v>
      </c>
      <c r="Y16" s="89">
        <f t="shared" si="0"/>
        <v>0</v>
      </c>
      <c r="Z16" s="89">
        <f t="shared" si="0"/>
        <v>0</v>
      </c>
      <c r="AA16" s="89">
        <f t="shared" si="0"/>
        <v>0</v>
      </c>
      <c r="AB16" s="89">
        <f t="shared" si="0"/>
        <v>0</v>
      </c>
      <c r="AC16" s="89">
        <f t="shared" si="0"/>
        <v>0</v>
      </c>
      <c r="AD16" s="89">
        <f t="shared" si="3"/>
        <v>0.5</v>
      </c>
      <c r="AF16" s="1" t="s">
        <v>103</v>
      </c>
      <c r="AG16" s="81" t="s">
        <v>107</v>
      </c>
      <c r="AH16" s="81" t="s">
        <v>107</v>
      </c>
      <c r="AI16" s="81" t="s">
        <v>107</v>
      </c>
      <c r="AJ16" s="81" t="s">
        <v>107</v>
      </c>
      <c r="AK16" s="89">
        <f t="shared" si="4"/>
        <v>0</v>
      </c>
      <c r="AM16" s="1" t="s">
        <v>100</v>
      </c>
      <c r="AN16" s="80">
        <v>3</v>
      </c>
      <c r="AO16" s="80">
        <v>3</v>
      </c>
      <c r="AP16" s="80">
        <v>3</v>
      </c>
      <c r="AQ16" s="80">
        <v>3</v>
      </c>
      <c r="AR16" s="80">
        <v>3</v>
      </c>
      <c r="AS16" s="80" t="s">
        <v>107</v>
      </c>
      <c r="AT16" s="80" t="s">
        <v>107</v>
      </c>
      <c r="AU16" s="80" t="s">
        <v>107</v>
      </c>
      <c r="AV16" s="80" t="s">
        <v>107</v>
      </c>
      <c r="AW16" s="80" t="s">
        <v>107</v>
      </c>
    </row>
    <row r="17" spans="2:49">
      <c r="B17" s="76" t="s">
        <v>92</v>
      </c>
      <c r="C17" s="77">
        <v>128</v>
      </c>
      <c r="D17" s="77">
        <v>111</v>
      </c>
      <c r="E17" s="77">
        <v>137</v>
      </c>
      <c r="F17" s="77">
        <v>146</v>
      </c>
      <c r="G17" s="77">
        <v>147</v>
      </c>
      <c r="H17" s="77">
        <v>112</v>
      </c>
      <c r="I17" s="77">
        <v>127</v>
      </c>
      <c r="J17" s="78"/>
      <c r="K17" s="78"/>
      <c r="L17" s="78"/>
      <c r="M17" s="78"/>
      <c r="N17" s="78"/>
      <c r="O17" s="77">
        <f t="shared" si="1"/>
        <v>908</v>
      </c>
      <c r="R17" s="1" t="s">
        <v>105</v>
      </c>
      <c r="S17" s="89"/>
      <c r="T17" s="89">
        <f t="shared" si="2"/>
        <v>0.1</v>
      </c>
      <c r="U17" s="89">
        <f t="shared" si="0"/>
        <v>0.1</v>
      </c>
      <c r="V17" s="89">
        <f t="shared" si="0"/>
        <v>0.1</v>
      </c>
      <c r="W17" s="89">
        <f t="shared" si="0"/>
        <v>0.1</v>
      </c>
      <c r="X17" s="89">
        <f t="shared" si="0"/>
        <v>0.1</v>
      </c>
      <c r="Y17" s="89">
        <f t="shared" si="0"/>
        <v>0</v>
      </c>
      <c r="Z17" s="89">
        <f t="shared" si="0"/>
        <v>0</v>
      </c>
      <c r="AA17" s="89">
        <f t="shared" si="0"/>
        <v>0</v>
      </c>
      <c r="AB17" s="89">
        <f t="shared" si="0"/>
        <v>0</v>
      </c>
      <c r="AC17" s="89">
        <f t="shared" si="0"/>
        <v>0</v>
      </c>
      <c r="AD17" s="89">
        <f t="shared" si="3"/>
        <v>0.5</v>
      </c>
      <c r="AF17" s="1" t="s">
        <v>105</v>
      </c>
      <c r="AG17" s="81" t="s">
        <v>107</v>
      </c>
      <c r="AH17" s="81" t="s">
        <v>107</v>
      </c>
      <c r="AI17" s="81" t="s">
        <v>107</v>
      </c>
      <c r="AJ17" s="81" t="s">
        <v>107</v>
      </c>
      <c r="AK17" s="89">
        <f t="shared" si="4"/>
        <v>0</v>
      </c>
      <c r="AM17" s="1" t="s">
        <v>102</v>
      </c>
      <c r="AN17" s="80">
        <v>3</v>
      </c>
      <c r="AO17" s="80">
        <v>3</v>
      </c>
      <c r="AP17" s="80">
        <v>1</v>
      </c>
      <c r="AQ17" s="80">
        <v>1</v>
      </c>
      <c r="AR17" s="80">
        <v>1</v>
      </c>
      <c r="AS17" s="80" t="s">
        <v>107</v>
      </c>
      <c r="AT17" s="80" t="s">
        <v>107</v>
      </c>
      <c r="AU17" s="80" t="s">
        <v>107</v>
      </c>
      <c r="AV17" s="80" t="s">
        <v>107</v>
      </c>
      <c r="AW17" s="80" t="s">
        <v>107</v>
      </c>
    </row>
    <row r="18" spans="2:49">
      <c r="B18" s="76" t="s">
        <v>96</v>
      </c>
      <c r="C18" s="77">
        <v>138</v>
      </c>
      <c r="D18" s="77">
        <v>175</v>
      </c>
      <c r="E18" s="77">
        <v>182</v>
      </c>
      <c r="F18" s="77">
        <v>182</v>
      </c>
      <c r="G18" s="77">
        <v>170</v>
      </c>
      <c r="H18" s="77">
        <v>167</v>
      </c>
      <c r="I18" s="77">
        <v>144</v>
      </c>
      <c r="J18" s="78"/>
      <c r="K18" s="78"/>
      <c r="L18" s="78"/>
      <c r="M18" s="78"/>
      <c r="N18" s="78"/>
      <c r="O18" s="77">
        <f t="shared" si="1"/>
        <v>1158</v>
      </c>
      <c r="R18" s="1" t="s">
        <v>180</v>
      </c>
      <c r="S18" s="89"/>
      <c r="T18" s="89">
        <f t="shared" si="2"/>
        <v>0</v>
      </c>
      <c r="U18" s="89">
        <f t="shared" si="0"/>
        <v>0.1</v>
      </c>
      <c r="V18" s="89">
        <f t="shared" si="0"/>
        <v>0.1</v>
      </c>
      <c r="W18" s="89">
        <f t="shared" si="0"/>
        <v>0.1</v>
      </c>
      <c r="X18" s="89">
        <f t="shared" si="0"/>
        <v>0.1</v>
      </c>
      <c r="Y18" s="89">
        <f t="shared" si="0"/>
        <v>0</v>
      </c>
      <c r="Z18" s="89">
        <f t="shared" si="0"/>
        <v>0</v>
      </c>
      <c r="AA18" s="89">
        <f t="shared" si="0"/>
        <v>0</v>
      </c>
      <c r="AB18" s="89">
        <f t="shared" si="0"/>
        <v>0</v>
      </c>
      <c r="AC18" s="89">
        <f t="shared" si="0"/>
        <v>0</v>
      </c>
      <c r="AD18" s="89">
        <f t="shared" si="3"/>
        <v>0.4</v>
      </c>
      <c r="AF18" s="1" t="s">
        <v>180</v>
      </c>
      <c r="AG18" s="81" t="s">
        <v>107</v>
      </c>
      <c r="AH18" s="81" t="s">
        <v>107</v>
      </c>
      <c r="AI18" s="81" t="s">
        <v>107</v>
      </c>
      <c r="AJ18" s="81" t="s">
        <v>107</v>
      </c>
      <c r="AK18" s="89">
        <f t="shared" si="4"/>
        <v>0</v>
      </c>
      <c r="AM18" s="1" t="s">
        <v>103</v>
      </c>
      <c r="AN18" s="80">
        <v>3</v>
      </c>
      <c r="AO18" s="80">
        <v>3</v>
      </c>
      <c r="AP18" s="80">
        <v>3</v>
      </c>
      <c r="AQ18" s="80">
        <v>3</v>
      </c>
      <c r="AR18" s="80">
        <v>3</v>
      </c>
      <c r="AS18" s="80" t="s">
        <v>107</v>
      </c>
      <c r="AT18" s="80" t="s">
        <v>107</v>
      </c>
      <c r="AU18" s="80" t="s">
        <v>107</v>
      </c>
      <c r="AV18" s="80" t="s">
        <v>107</v>
      </c>
      <c r="AW18" s="80" t="s">
        <v>107</v>
      </c>
    </row>
    <row r="19" spans="2:49">
      <c r="B19" s="76" t="s">
        <v>181</v>
      </c>
      <c r="C19" s="77">
        <v>6</v>
      </c>
      <c r="D19" s="77">
        <v>5</v>
      </c>
      <c r="E19" s="77">
        <v>2</v>
      </c>
      <c r="F19" s="77">
        <v>6</v>
      </c>
      <c r="G19" s="77">
        <v>5</v>
      </c>
      <c r="H19" s="77">
        <v>2</v>
      </c>
      <c r="I19" s="77">
        <v>5</v>
      </c>
      <c r="J19" s="78"/>
      <c r="K19" s="78"/>
      <c r="L19" s="78"/>
      <c r="M19" s="78"/>
      <c r="N19" s="78"/>
      <c r="O19" s="77">
        <f t="shared" si="1"/>
        <v>31</v>
      </c>
      <c r="AM19" s="1" t="s">
        <v>105</v>
      </c>
      <c r="AN19" s="80">
        <v>3</v>
      </c>
      <c r="AO19" s="80">
        <v>3</v>
      </c>
      <c r="AP19" s="80">
        <v>3</v>
      </c>
      <c r="AQ19" s="80">
        <v>3</v>
      </c>
      <c r="AR19" s="80">
        <v>3</v>
      </c>
      <c r="AS19" s="80" t="s">
        <v>107</v>
      </c>
      <c r="AT19" s="80" t="s">
        <v>107</v>
      </c>
      <c r="AU19" s="80" t="s">
        <v>107</v>
      </c>
      <c r="AV19" s="80" t="s">
        <v>107</v>
      </c>
      <c r="AW19" s="80" t="s">
        <v>107</v>
      </c>
    </row>
    <row r="20" spans="2:49" ht="18.75">
      <c r="B20" s="76" t="s">
        <v>182</v>
      </c>
      <c r="C20" s="77">
        <v>0</v>
      </c>
      <c r="D20" s="77">
        <v>0</v>
      </c>
      <c r="E20" s="77">
        <v>3</v>
      </c>
      <c r="F20" s="77">
        <v>0</v>
      </c>
      <c r="G20" s="77">
        <v>3</v>
      </c>
      <c r="H20" s="77">
        <v>0</v>
      </c>
      <c r="I20" s="77">
        <v>5</v>
      </c>
      <c r="J20" s="78"/>
      <c r="K20" s="78"/>
      <c r="L20" s="78"/>
      <c r="M20" s="78"/>
      <c r="N20" s="78"/>
      <c r="O20" s="77">
        <f t="shared" si="1"/>
        <v>11</v>
      </c>
      <c r="R20" s="9">
        <v>1</v>
      </c>
      <c r="S20" s="9">
        <v>2</v>
      </c>
      <c r="T20" s="9">
        <v>3</v>
      </c>
      <c r="U20" s="9">
        <v>4</v>
      </c>
      <c r="V20" s="9">
        <v>5</v>
      </c>
      <c r="W20" s="9">
        <v>6</v>
      </c>
      <c r="X20" s="9">
        <v>7</v>
      </c>
      <c r="Y20" s="9">
        <v>8</v>
      </c>
      <c r="Z20" s="9">
        <v>9</v>
      </c>
      <c r="AA20" s="9">
        <v>10</v>
      </c>
      <c r="AB20" s="9">
        <v>11</v>
      </c>
      <c r="AC20" s="9">
        <v>12</v>
      </c>
      <c r="AF20" s="114" t="s">
        <v>21</v>
      </c>
      <c r="AM20" s="1" t="s">
        <v>180</v>
      </c>
      <c r="AN20" s="80">
        <v>1</v>
      </c>
      <c r="AO20" s="80">
        <v>3</v>
      </c>
      <c r="AP20" s="80">
        <v>3</v>
      </c>
      <c r="AQ20" s="80">
        <v>3</v>
      </c>
      <c r="AR20" s="80">
        <v>3</v>
      </c>
      <c r="AS20" s="80" t="s">
        <v>107</v>
      </c>
      <c r="AT20" s="80" t="s">
        <v>107</v>
      </c>
      <c r="AU20" s="80" t="s">
        <v>107</v>
      </c>
      <c r="AV20" s="80" t="s">
        <v>107</v>
      </c>
      <c r="AW20" s="80" t="s">
        <v>107</v>
      </c>
    </row>
    <row r="21" spans="2:49">
      <c r="B21" s="76" t="s">
        <v>100</v>
      </c>
      <c r="C21" s="77">
        <v>147</v>
      </c>
      <c r="D21" s="77">
        <v>139</v>
      </c>
      <c r="E21" s="77">
        <v>161</v>
      </c>
      <c r="F21" s="77">
        <v>178</v>
      </c>
      <c r="G21" s="77">
        <v>183</v>
      </c>
      <c r="H21" s="77">
        <v>176</v>
      </c>
      <c r="I21" s="77">
        <v>181</v>
      </c>
      <c r="J21" s="78"/>
      <c r="K21" s="78"/>
      <c r="L21" s="78"/>
      <c r="M21" s="78"/>
      <c r="N21" s="78"/>
      <c r="O21" s="77">
        <f t="shared" si="1"/>
        <v>1165</v>
      </c>
      <c r="R21" s="82" t="s">
        <v>33</v>
      </c>
      <c r="S21" s="82" t="s">
        <v>141</v>
      </c>
      <c r="T21" s="82" t="s">
        <v>142</v>
      </c>
      <c r="U21" s="82" t="s">
        <v>143</v>
      </c>
      <c r="V21" s="82" t="s">
        <v>144</v>
      </c>
      <c r="W21" s="82" t="s">
        <v>145</v>
      </c>
      <c r="X21" s="82" t="s">
        <v>146</v>
      </c>
      <c r="Y21" s="82" t="s">
        <v>147</v>
      </c>
      <c r="Z21" s="82" t="s">
        <v>148</v>
      </c>
      <c r="AA21" s="82" t="s">
        <v>149</v>
      </c>
      <c r="AB21" s="82" t="s">
        <v>150</v>
      </c>
      <c r="AC21" s="82" t="s">
        <v>151</v>
      </c>
      <c r="AF21" s="9">
        <v>1</v>
      </c>
      <c r="AG21" s="9">
        <v>2</v>
      </c>
      <c r="AH21" s="9">
        <v>3</v>
      </c>
      <c r="AI21" s="9">
        <v>4</v>
      </c>
      <c r="AJ21" s="9">
        <v>5</v>
      </c>
      <c r="AK21" s="9">
        <v>6</v>
      </c>
    </row>
    <row r="22" spans="2:49">
      <c r="B22" s="76" t="s">
        <v>109</v>
      </c>
      <c r="C22" s="77">
        <v>17</v>
      </c>
      <c r="D22" s="77">
        <v>5</v>
      </c>
      <c r="E22" s="77">
        <v>11</v>
      </c>
      <c r="F22" s="77">
        <v>2</v>
      </c>
      <c r="G22" s="77">
        <v>16</v>
      </c>
      <c r="H22" s="77">
        <v>18</v>
      </c>
      <c r="I22" s="77">
        <v>26</v>
      </c>
      <c r="J22" s="78"/>
      <c r="K22" s="78"/>
      <c r="L22" s="78"/>
      <c r="M22" s="78"/>
      <c r="N22" s="78"/>
      <c r="O22" s="77">
        <f t="shared" si="1"/>
        <v>95</v>
      </c>
      <c r="Q22" s="178">
        <v>9.0909090909090912E-2</v>
      </c>
      <c r="R22" s="1" t="s">
        <v>83</v>
      </c>
      <c r="S22" s="80">
        <v>3</v>
      </c>
      <c r="T22" s="80">
        <v>3</v>
      </c>
      <c r="U22" s="80" t="s">
        <v>107</v>
      </c>
      <c r="V22" s="80" t="s">
        <v>107</v>
      </c>
      <c r="W22" s="80" t="s">
        <v>107</v>
      </c>
      <c r="X22" s="80" t="s">
        <v>107</v>
      </c>
      <c r="Y22" s="80" t="s">
        <v>107</v>
      </c>
      <c r="Z22" s="80" t="s">
        <v>107</v>
      </c>
      <c r="AA22" s="80" t="s">
        <v>107</v>
      </c>
      <c r="AB22" s="80" t="s">
        <v>107</v>
      </c>
      <c r="AC22" s="80" t="s">
        <v>107</v>
      </c>
      <c r="AF22" s="82" t="s">
        <v>33</v>
      </c>
      <c r="AG22" s="82" t="s">
        <v>152</v>
      </c>
      <c r="AH22" s="82" t="s">
        <v>87</v>
      </c>
      <c r="AI22" s="82" t="s">
        <v>88</v>
      </c>
      <c r="AJ22" s="82" t="s">
        <v>153</v>
      </c>
      <c r="AK22" s="88" t="s">
        <v>81</v>
      </c>
    </row>
    <row r="23" spans="2:49">
      <c r="B23" s="76" t="s">
        <v>97</v>
      </c>
      <c r="C23" s="77">
        <v>113</v>
      </c>
      <c r="D23" s="77">
        <v>189</v>
      </c>
      <c r="E23" s="77">
        <v>245</v>
      </c>
      <c r="F23" s="77">
        <v>227</v>
      </c>
      <c r="G23" s="77">
        <v>201</v>
      </c>
      <c r="H23" s="77">
        <v>263</v>
      </c>
      <c r="I23" s="77">
        <v>187</v>
      </c>
      <c r="J23" s="78"/>
      <c r="K23" s="78"/>
      <c r="L23" s="78"/>
      <c r="M23" s="78"/>
      <c r="N23" s="78"/>
      <c r="O23" s="77">
        <f t="shared" si="1"/>
        <v>1425</v>
      </c>
      <c r="R23" s="1" t="s">
        <v>89</v>
      </c>
      <c r="S23" s="80">
        <v>3</v>
      </c>
      <c r="T23" s="80">
        <v>1</v>
      </c>
      <c r="U23" s="80" t="s">
        <v>107</v>
      </c>
      <c r="V23" s="80" t="s">
        <v>107</v>
      </c>
      <c r="W23" s="80" t="s">
        <v>107</v>
      </c>
      <c r="X23" s="80" t="s">
        <v>107</v>
      </c>
      <c r="Y23" s="80" t="s">
        <v>107</v>
      </c>
      <c r="Z23" s="80" t="s">
        <v>107</v>
      </c>
      <c r="AA23" s="80" t="s">
        <v>107</v>
      </c>
      <c r="AB23" s="80" t="s">
        <v>107</v>
      </c>
      <c r="AC23" s="80" t="s">
        <v>107</v>
      </c>
      <c r="AF23" s="1" t="s">
        <v>83</v>
      </c>
      <c r="AG23" s="81">
        <v>0.25</v>
      </c>
      <c r="AH23" s="81">
        <v>0.25</v>
      </c>
      <c r="AI23" s="81">
        <v>0.25</v>
      </c>
      <c r="AJ23" s="81" t="s">
        <v>107</v>
      </c>
      <c r="AK23" s="89">
        <f>SUM(AG23:AJ23)</f>
        <v>0.75</v>
      </c>
    </row>
    <row r="24" spans="2:49">
      <c r="B24" s="76" t="s">
        <v>183</v>
      </c>
      <c r="C24" s="77">
        <v>30</v>
      </c>
      <c r="D24" s="77">
        <v>31</v>
      </c>
      <c r="E24" s="77">
        <v>15</v>
      </c>
      <c r="F24" s="77">
        <v>25</v>
      </c>
      <c r="G24" s="77">
        <v>19</v>
      </c>
      <c r="H24" s="77">
        <v>14</v>
      </c>
      <c r="I24" s="77">
        <v>10</v>
      </c>
      <c r="J24" s="78"/>
      <c r="K24" s="78"/>
      <c r="L24" s="78"/>
      <c r="M24" s="78"/>
      <c r="N24" s="78"/>
      <c r="O24" s="77">
        <f t="shared" si="1"/>
        <v>144</v>
      </c>
      <c r="R24" s="1" t="s">
        <v>91</v>
      </c>
      <c r="S24" s="80">
        <v>3</v>
      </c>
      <c r="T24" s="80">
        <v>3</v>
      </c>
      <c r="U24" s="80" t="s">
        <v>107</v>
      </c>
      <c r="V24" s="80" t="s">
        <v>107</v>
      </c>
      <c r="W24" s="80" t="s">
        <v>107</v>
      </c>
      <c r="X24" s="80" t="s">
        <v>107</v>
      </c>
      <c r="Y24" s="80" t="s">
        <v>107</v>
      </c>
      <c r="Z24" s="80" t="s">
        <v>107</v>
      </c>
      <c r="AA24" s="80" t="s">
        <v>107</v>
      </c>
      <c r="AB24" s="80" t="s">
        <v>107</v>
      </c>
      <c r="AC24" s="80" t="s">
        <v>107</v>
      </c>
      <c r="AF24" s="1" t="s">
        <v>89</v>
      </c>
      <c r="AG24" s="81">
        <v>0.25</v>
      </c>
      <c r="AH24" s="81">
        <v>0.25</v>
      </c>
      <c r="AI24" s="81">
        <v>0.25</v>
      </c>
      <c r="AJ24" s="81" t="s">
        <v>107</v>
      </c>
      <c r="AK24" s="89">
        <f t="shared" ref="AK24:AK37" si="5">SUM(AG24:AJ24)</f>
        <v>0.75</v>
      </c>
    </row>
    <row r="25" spans="2:49">
      <c r="B25" s="76" t="s">
        <v>98</v>
      </c>
      <c r="C25" s="77">
        <v>86</v>
      </c>
      <c r="D25" s="77">
        <v>112</v>
      </c>
      <c r="E25" s="77">
        <v>106</v>
      </c>
      <c r="F25" s="77">
        <v>87</v>
      </c>
      <c r="G25" s="77">
        <v>94</v>
      </c>
      <c r="H25" s="77">
        <v>94</v>
      </c>
      <c r="I25" s="77">
        <v>82</v>
      </c>
      <c r="J25" s="78"/>
      <c r="K25" s="78"/>
      <c r="L25" s="78"/>
      <c r="M25" s="78"/>
      <c r="N25" s="78"/>
      <c r="O25" s="77">
        <f t="shared" si="1"/>
        <v>661</v>
      </c>
      <c r="R25" s="1" t="s">
        <v>92</v>
      </c>
      <c r="S25" s="80">
        <v>3</v>
      </c>
      <c r="T25" s="80">
        <v>3</v>
      </c>
      <c r="U25" s="80" t="s">
        <v>107</v>
      </c>
      <c r="V25" s="80" t="s">
        <v>107</v>
      </c>
      <c r="W25" s="80" t="s">
        <v>107</v>
      </c>
      <c r="X25" s="80" t="s">
        <v>107</v>
      </c>
      <c r="Y25" s="80" t="s">
        <v>107</v>
      </c>
      <c r="Z25" s="80" t="s">
        <v>107</v>
      </c>
      <c r="AA25" s="80" t="s">
        <v>107</v>
      </c>
      <c r="AB25" s="80" t="s">
        <v>107</v>
      </c>
      <c r="AC25" s="80" t="s">
        <v>107</v>
      </c>
      <c r="AF25" s="1" t="s">
        <v>91</v>
      </c>
      <c r="AG25" s="81">
        <v>0.25</v>
      </c>
      <c r="AH25" s="81">
        <v>0.25</v>
      </c>
      <c r="AI25" s="81">
        <v>0.25</v>
      </c>
      <c r="AJ25" s="81" t="s">
        <v>107</v>
      </c>
      <c r="AK25" s="89">
        <f t="shared" si="5"/>
        <v>0.75</v>
      </c>
    </row>
    <row r="26" spans="2:49">
      <c r="B26" s="76" t="s">
        <v>89</v>
      </c>
      <c r="C26" s="77">
        <v>715</v>
      </c>
      <c r="D26" s="77">
        <v>586</v>
      </c>
      <c r="E26" s="77">
        <v>570</v>
      </c>
      <c r="F26" s="77">
        <v>554</v>
      </c>
      <c r="G26" s="77">
        <v>484</v>
      </c>
      <c r="H26" s="77">
        <v>502</v>
      </c>
      <c r="I26" s="77">
        <v>407</v>
      </c>
      <c r="J26" s="78"/>
      <c r="K26" s="78"/>
      <c r="L26" s="78"/>
      <c r="M26" s="78"/>
      <c r="N26" s="78"/>
      <c r="O26" s="77">
        <f t="shared" si="1"/>
        <v>3818</v>
      </c>
      <c r="R26" s="1" t="s">
        <v>0</v>
      </c>
      <c r="S26" s="80">
        <v>3</v>
      </c>
      <c r="T26" s="80">
        <v>3</v>
      </c>
      <c r="U26" s="80" t="s">
        <v>107</v>
      </c>
      <c r="V26" s="80" t="s">
        <v>107</v>
      </c>
      <c r="W26" s="80" t="s">
        <v>107</v>
      </c>
      <c r="X26" s="80" t="s">
        <v>107</v>
      </c>
      <c r="Y26" s="80" t="s">
        <v>107</v>
      </c>
      <c r="Z26" s="80" t="s">
        <v>107</v>
      </c>
      <c r="AA26" s="80" t="s">
        <v>107</v>
      </c>
      <c r="AB26" s="80" t="s">
        <v>107</v>
      </c>
      <c r="AC26" s="80" t="s">
        <v>107</v>
      </c>
      <c r="AF26" s="1" t="s">
        <v>92</v>
      </c>
      <c r="AG26" s="81">
        <v>0.25</v>
      </c>
      <c r="AH26" s="81">
        <v>0.25</v>
      </c>
      <c r="AI26" s="81">
        <v>0.25</v>
      </c>
      <c r="AJ26" s="81" t="s">
        <v>107</v>
      </c>
      <c r="AK26" s="89">
        <f t="shared" si="5"/>
        <v>0.75</v>
      </c>
    </row>
    <row r="27" spans="2:49">
      <c r="B27" s="76" t="s">
        <v>0</v>
      </c>
      <c r="C27" s="77">
        <v>155</v>
      </c>
      <c r="D27" s="77">
        <v>131</v>
      </c>
      <c r="E27" s="77">
        <v>145</v>
      </c>
      <c r="F27" s="77">
        <v>145</v>
      </c>
      <c r="G27" s="77">
        <v>174</v>
      </c>
      <c r="H27" s="77">
        <v>184</v>
      </c>
      <c r="I27" s="77">
        <v>212</v>
      </c>
      <c r="J27" s="78"/>
      <c r="K27" s="78"/>
      <c r="L27" s="78"/>
      <c r="M27" s="78"/>
      <c r="N27" s="78"/>
      <c r="O27" s="77">
        <f t="shared" si="1"/>
        <v>1146</v>
      </c>
      <c r="R27" s="1" t="s">
        <v>94</v>
      </c>
      <c r="S27" s="80">
        <v>3</v>
      </c>
      <c r="T27" s="80">
        <v>3</v>
      </c>
      <c r="U27" s="80" t="s">
        <v>107</v>
      </c>
      <c r="V27" s="80" t="s">
        <v>107</v>
      </c>
      <c r="W27" s="80" t="s">
        <v>107</v>
      </c>
      <c r="X27" s="80" t="s">
        <v>107</v>
      </c>
      <c r="Y27" s="80" t="s">
        <v>107</v>
      </c>
      <c r="Z27" s="80" t="s">
        <v>107</v>
      </c>
      <c r="AA27" s="80" t="s">
        <v>107</v>
      </c>
      <c r="AB27" s="80" t="s">
        <v>107</v>
      </c>
      <c r="AC27" s="80" t="s">
        <v>107</v>
      </c>
      <c r="AF27" s="1" t="s">
        <v>0</v>
      </c>
      <c r="AG27" s="81">
        <v>0.25</v>
      </c>
      <c r="AH27" s="81">
        <v>0.25</v>
      </c>
      <c r="AI27" s="81">
        <v>0.25</v>
      </c>
      <c r="AJ27" s="81" t="s">
        <v>107</v>
      </c>
      <c r="AK27" s="89">
        <f t="shared" si="5"/>
        <v>0.75</v>
      </c>
    </row>
    <row r="28" spans="2:49">
      <c r="B28" s="76" t="s">
        <v>102</v>
      </c>
      <c r="C28" s="77">
        <v>115</v>
      </c>
      <c r="D28" s="77">
        <v>122</v>
      </c>
      <c r="E28" s="77">
        <v>134</v>
      </c>
      <c r="F28" s="77">
        <v>154</v>
      </c>
      <c r="G28" s="77">
        <v>134</v>
      </c>
      <c r="H28" s="77">
        <v>227</v>
      </c>
      <c r="I28" s="77">
        <v>175</v>
      </c>
      <c r="J28" s="78"/>
      <c r="K28" s="78"/>
      <c r="L28" s="78"/>
      <c r="M28" s="78"/>
      <c r="N28" s="78"/>
      <c r="O28" s="77">
        <f t="shared" si="1"/>
        <v>1061</v>
      </c>
      <c r="R28" s="1" t="s">
        <v>96</v>
      </c>
      <c r="S28" s="80">
        <v>3</v>
      </c>
      <c r="T28" s="80">
        <v>3</v>
      </c>
      <c r="U28" s="80" t="s">
        <v>107</v>
      </c>
      <c r="V28" s="80" t="s">
        <v>107</v>
      </c>
      <c r="W28" s="80" t="s">
        <v>107</v>
      </c>
      <c r="X28" s="80" t="s">
        <v>107</v>
      </c>
      <c r="Y28" s="80" t="s">
        <v>107</v>
      </c>
      <c r="Z28" s="80" t="s">
        <v>107</v>
      </c>
      <c r="AA28" s="80" t="s">
        <v>107</v>
      </c>
      <c r="AB28" s="80" t="s">
        <v>107</v>
      </c>
      <c r="AC28" s="80" t="s">
        <v>107</v>
      </c>
      <c r="AF28" s="1" t="s">
        <v>94</v>
      </c>
      <c r="AG28" s="81">
        <v>0.25</v>
      </c>
      <c r="AH28" s="81">
        <v>0.25</v>
      </c>
      <c r="AI28" s="81">
        <v>0.25</v>
      </c>
      <c r="AJ28" s="81" t="s">
        <v>107</v>
      </c>
      <c r="AK28" s="89">
        <f t="shared" si="5"/>
        <v>0.75</v>
      </c>
    </row>
    <row r="29" spans="2:49">
      <c r="B29" s="76" t="s">
        <v>184</v>
      </c>
      <c r="C29" s="77">
        <v>3</v>
      </c>
      <c r="D29" s="77">
        <v>5</v>
      </c>
      <c r="E29" s="77">
        <v>2</v>
      </c>
      <c r="F29" s="77">
        <v>2</v>
      </c>
      <c r="G29" s="77">
        <v>4</v>
      </c>
      <c r="H29" s="77">
        <v>5</v>
      </c>
      <c r="I29" s="77">
        <v>6</v>
      </c>
      <c r="J29" s="78"/>
      <c r="K29" s="78"/>
      <c r="L29" s="78"/>
      <c r="M29" s="78"/>
      <c r="N29" s="78"/>
      <c r="O29" s="77">
        <f t="shared" si="1"/>
        <v>27</v>
      </c>
      <c r="R29" s="1" t="s">
        <v>97</v>
      </c>
      <c r="S29" s="80">
        <v>3</v>
      </c>
      <c r="T29" s="80">
        <v>3</v>
      </c>
      <c r="U29" s="80" t="s">
        <v>107</v>
      </c>
      <c r="V29" s="80" t="s">
        <v>107</v>
      </c>
      <c r="W29" s="80" t="s">
        <v>107</v>
      </c>
      <c r="X29" s="80" t="s">
        <v>107</v>
      </c>
      <c r="Y29" s="80" t="s">
        <v>107</v>
      </c>
      <c r="Z29" s="80" t="s">
        <v>107</v>
      </c>
      <c r="AA29" s="80" t="s">
        <v>107</v>
      </c>
      <c r="AB29" s="80" t="s">
        <v>107</v>
      </c>
      <c r="AC29" s="80" t="s">
        <v>107</v>
      </c>
      <c r="AF29" s="1" t="s">
        <v>96</v>
      </c>
      <c r="AG29" s="81">
        <v>0.25</v>
      </c>
      <c r="AH29" s="81">
        <v>0.25</v>
      </c>
      <c r="AI29" s="81">
        <v>0.25</v>
      </c>
      <c r="AJ29" s="81" t="s">
        <v>107</v>
      </c>
      <c r="AK29" s="89">
        <f t="shared" si="5"/>
        <v>0.75</v>
      </c>
    </row>
    <row r="30" spans="2:49">
      <c r="B30" s="76" t="s">
        <v>185</v>
      </c>
      <c r="C30" s="77">
        <v>1</v>
      </c>
      <c r="D30" s="77">
        <v>0</v>
      </c>
      <c r="E30" s="77">
        <v>2</v>
      </c>
      <c r="F30" s="77">
        <v>4</v>
      </c>
      <c r="G30" s="77">
        <v>2</v>
      </c>
      <c r="H30" s="77">
        <v>1</v>
      </c>
      <c r="I30" s="77">
        <v>0</v>
      </c>
      <c r="J30" s="78"/>
      <c r="K30" s="78"/>
      <c r="L30" s="78"/>
      <c r="M30" s="78"/>
      <c r="N30" s="78"/>
      <c r="O30" s="77">
        <f t="shared" si="1"/>
        <v>10</v>
      </c>
      <c r="R30" s="1" t="s">
        <v>98</v>
      </c>
      <c r="S30" s="80">
        <v>3</v>
      </c>
      <c r="T30" s="80">
        <v>3</v>
      </c>
      <c r="U30" s="80" t="s">
        <v>107</v>
      </c>
      <c r="V30" s="80" t="s">
        <v>107</v>
      </c>
      <c r="W30" s="80" t="s">
        <v>107</v>
      </c>
      <c r="X30" s="80" t="s">
        <v>107</v>
      </c>
      <c r="Y30" s="80" t="s">
        <v>107</v>
      </c>
      <c r="Z30" s="80" t="s">
        <v>107</v>
      </c>
      <c r="AA30" s="80" t="s">
        <v>107</v>
      </c>
      <c r="AB30" s="80" t="s">
        <v>107</v>
      </c>
      <c r="AC30" s="80" t="s">
        <v>107</v>
      </c>
      <c r="AF30" s="1" t="s">
        <v>97</v>
      </c>
      <c r="AG30" s="81">
        <v>0.25</v>
      </c>
      <c r="AH30" s="81">
        <v>0.25</v>
      </c>
      <c r="AI30" s="81">
        <v>0.25</v>
      </c>
      <c r="AJ30" s="81" t="s">
        <v>107</v>
      </c>
      <c r="AK30" s="89">
        <f t="shared" si="5"/>
        <v>0.75</v>
      </c>
    </row>
    <row r="31" spans="2:49">
      <c r="B31" s="76" t="s">
        <v>186</v>
      </c>
      <c r="C31" s="77">
        <v>10</v>
      </c>
      <c r="D31" s="77">
        <v>5</v>
      </c>
      <c r="E31" s="77">
        <v>9</v>
      </c>
      <c r="F31" s="77">
        <v>11</v>
      </c>
      <c r="G31" s="77">
        <v>12</v>
      </c>
      <c r="H31" s="77">
        <v>9</v>
      </c>
      <c r="I31" s="77">
        <v>3</v>
      </c>
      <c r="J31" s="78"/>
      <c r="K31" s="78"/>
      <c r="L31" s="78"/>
      <c r="M31" s="78"/>
      <c r="N31" s="78"/>
      <c r="O31" s="77">
        <f t="shared" si="1"/>
        <v>59</v>
      </c>
      <c r="R31" s="1" t="s">
        <v>99</v>
      </c>
      <c r="S31" s="80">
        <v>3</v>
      </c>
      <c r="T31" s="80">
        <v>3</v>
      </c>
      <c r="U31" s="80" t="s">
        <v>107</v>
      </c>
      <c r="V31" s="80" t="s">
        <v>107</v>
      </c>
      <c r="W31" s="80" t="s">
        <v>107</v>
      </c>
      <c r="X31" s="80" t="s">
        <v>107</v>
      </c>
      <c r="Y31" s="80" t="s">
        <v>107</v>
      </c>
      <c r="Z31" s="80" t="s">
        <v>107</v>
      </c>
      <c r="AA31" s="80" t="s">
        <v>107</v>
      </c>
      <c r="AB31" s="80" t="s">
        <v>107</v>
      </c>
      <c r="AC31" s="80" t="s">
        <v>107</v>
      </c>
      <c r="AF31" s="1" t="s">
        <v>98</v>
      </c>
      <c r="AG31" s="81">
        <v>0.25</v>
      </c>
      <c r="AH31" s="81">
        <v>0.25</v>
      </c>
      <c r="AI31" s="81">
        <v>0.25</v>
      </c>
      <c r="AJ31" s="81" t="s">
        <v>107</v>
      </c>
      <c r="AK31" s="89">
        <f t="shared" si="5"/>
        <v>0.75</v>
      </c>
    </row>
    <row r="32" spans="2:49">
      <c r="B32" s="76" t="s">
        <v>187</v>
      </c>
      <c r="C32" s="77">
        <v>22</v>
      </c>
      <c r="D32" s="77">
        <v>23</v>
      </c>
      <c r="E32" s="77">
        <v>42</v>
      </c>
      <c r="F32" s="77">
        <v>33</v>
      </c>
      <c r="G32" s="77">
        <v>23</v>
      </c>
      <c r="H32" s="77">
        <v>67</v>
      </c>
      <c r="I32" s="77">
        <v>56</v>
      </c>
      <c r="J32" s="78"/>
      <c r="K32" s="78"/>
      <c r="L32" s="78"/>
      <c r="M32" s="78"/>
      <c r="N32" s="78"/>
      <c r="O32" s="77">
        <f t="shared" si="1"/>
        <v>266</v>
      </c>
      <c r="R32" s="1" t="s">
        <v>100</v>
      </c>
      <c r="S32" s="80">
        <v>3</v>
      </c>
      <c r="T32" s="80">
        <v>3</v>
      </c>
      <c r="U32" s="80" t="s">
        <v>107</v>
      </c>
      <c r="V32" s="80" t="s">
        <v>107</v>
      </c>
      <c r="W32" s="80" t="s">
        <v>107</v>
      </c>
      <c r="X32" s="80" t="s">
        <v>107</v>
      </c>
      <c r="Y32" s="80" t="s">
        <v>107</v>
      </c>
      <c r="Z32" s="80" t="s">
        <v>107</v>
      </c>
      <c r="AA32" s="80" t="s">
        <v>107</v>
      </c>
      <c r="AB32" s="80" t="s">
        <v>107</v>
      </c>
      <c r="AC32" s="80" t="s">
        <v>107</v>
      </c>
      <c r="AF32" s="1" t="s">
        <v>99</v>
      </c>
      <c r="AG32" s="81">
        <v>0.25</v>
      </c>
      <c r="AH32" s="81">
        <v>0.25</v>
      </c>
      <c r="AI32" s="81">
        <v>0.25</v>
      </c>
      <c r="AJ32" s="81" t="s">
        <v>107</v>
      </c>
      <c r="AK32" s="89">
        <f t="shared" si="5"/>
        <v>0.75</v>
      </c>
    </row>
    <row r="33" spans="2:37">
      <c r="B33" s="76" t="s">
        <v>188</v>
      </c>
      <c r="C33" s="77">
        <v>2</v>
      </c>
      <c r="D33" s="77">
        <v>1</v>
      </c>
      <c r="E33" s="77">
        <v>1</v>
      </c>
      <c r="F33" s="77">
        <v>6</v>
      </c>
      <c r="G33" s="77">
        <v>2</v>
      </c>
      <c r="H33" s="77">
        <v>2</v>
      </c>
      <c r="I33" s="77">
        <v>2</v>
      </c>
      <c r="J33" s="78"/>
      <c r="K33" s="78"/>
      <c r="L33" s="78"/>
      <c r="M33" s="78"/>
      <c r="N33" s="78"/>
      <c r="O33" s="77">
        <f t="shared" si="1"/>
        <v>16</v>
      </c>
      <c r="R33" s="1" t="s">
        <v>102</v>
      </c>
      <c r="S33" s="80">
        <v>3</v>
      </c>
      <c r="T33" s="80">
        <v>3</v>
      </c>
      <c r="U33" s="80" t="s">
        <v>107</v>
      </c>
      <c r="V33" s="80" t="s">
        <v>107</v>
      </c>
      <c r="W33" s="80" t="s">
        <v>107</v>
      </c>
      <c r="X33" s="80" t="s">
        <v>107</v>
      </c>
      <c r="Y33" s="80" t="s">
        <v>107</v>
      </c>
      <c r="Z33" s="80" t="s">
        <v>107</v>
      </c>
      <c r="AA33" s="80" t="s">
        <v>107</v>
      </c>
      <c r="AB33" s="80" t="s">
        <v>107</v>
      </c>
      <c r="AC33" s="80" t="s">
        <v>107</v>
      </c>
      <c r="AF33" s="1" t="s">
        <v>100</v>
      </c>
      <c r="AG33" s="81">
        <v>0.25</v>
      </c>
      <c r="AH33" s="81">
        <v>0.25</v>
      </c>
      <c r="AI33" s="81">
        <v>0.25</v>
      </c>
      <c r="AJ33" s="81" t="s">
        <v>107</v>
      </c>
      <c r="AK33" s="89">
        <f t="shared" si="5"/>
        <v>0.75</v>
      </c>
    </row>
    <row r="34" spans="2:37">
      <c r="B34" s="76" t="s">
        <v>28</v>
      </c>
      <c r="C34" s="77">
        <v>93</v>
      </c>
      <c r="D34" s="77">
        <v>116</v>
      </c>
      <c r="E34" s="77">
        <v>87</v>
      </c>
      <c r="F34" s="77">
        <v>85</v>
      </c>
      <c r="G34" s="77">
        <v>56</v>
      </c>
      <c r="H34" s="77">
        <v>76</v>
      </c>
      <c r="I34" s="77">
        <v>54</v>
      </c>
      <c r="J34" s="78"/>
      <c r="K34" s="78"/>
      <c r="L34" s="78"/>
      <c r="M34" s="78"/>
      <c r="N34" s="78"/>
      <c r="O34" s="77">
        <f t="shared" si="1"/>
        <v>567</v>
      </c>
      <c r="R34" s="1" t="s">
        <v>103</v>
      </c>
      <c r="S34" s="80">
        <v>3</v>
      </c>
      <c r="T34" s="80">
        <v>3</v>
      </c>
      <c r="U34" s="80" t="s">
        <v>107</v>
      </c>
      <c r="V34" s="80" t="s">
        <v>107</v>
      </c>
      <c r="W34" s="80" t="s">
        <v>107</v>
      </c>
      <c r="X34" s="80" t="s">
        <v>107</v>
      </c>
      <c r="Y34" s="80" t="s">
        <v>107</v>
      </c>
      <c r="Z34" s="80" t="s">
        <v>107</v>
      </c>
      <c r="AA34" s="80" t="s">
        <v>107</v>
      </c>
      <c r="AB34" s="80" t="s">
        <v>107</v>
      </c>
      <c r="AC34" s="80" t="s">
        <v>107</v>
      </c>
      <c r="AF34" s="1" t="s">
        <v>102</v>
      </c>
      <c r="AG34" s="81">
        <v>0.25</v>
      </c>
      <c r="AH34" s="81">
        <v>0.25</v>
      </c>
      <c r="AI34" s="81">
        <v>0.25</v>
      </c>
      <c r="AJ34" s="81" t="s">
        <v>107</v>
      </c>
      <c r="AK34" s="89">
        <f t="shared" si="5"/>
        <v>0.75</v>
      </c>
    </row>
    <row r="35" spans="2:37">
      <c r="B35" s="76" t="s">
        <v>94</v>
      </c>
      <c r="C35" s="77">
        <v>150</v>
      </c>
      <c r="D35" s="77">
        <v>120</v>
      </c>
      <c r="E35" s="77">
        <v>150</v>
      </c>
      <c r="F35" s="77">
        <v>94</v>
      </c>
      <c r="G35" s="77">
        <v>104</v>
      </c>
      <c r="H35" s="77">
        <v>117</v>
      </c>
      <c r="I35" s="77">
        <v>111</v>
      </c>
      <c r="J35" s="78"/>
      <c r="K35" s="78"/>
      <c r="L35" s="78"/>
      <c r="M35" s="78"/>
      <c r="N35" s="78"/>
      <c r="O35" s="77">
        <f t="shared" si="1"/>
        <v>846</v>
      </c>
      <c r="R35" s="1" t="s">
        <v>105</v>
      </c>
      <c r="S35" s="80">
        <v>3</v>
      </c>
      <c r="T35" s="80">
        <v>3</v>
      </c>
      <c r="U35" s="80">
        <v>3</v>
      </c>
      <c r="V35" s="80" t="s">
        <v>107</v>
      </c>
      <c r="W35" s="80" t="s">
        <v>107</v>
      </c>
      <c r="X35" s="80" t="s">
        <v>107</v>
      </c>
      <c r="Y35" s="80" t="s">
        <v>107</v>
      </c>
      <c r="Z35" s="80" t="s">
        <v>107</v>
      </c>
      <c r="AA35" s="80" t="s">
        <v>107</v>
      </c>
      <c r="AB35" s="80" t="s">
        <v>107</v>
      </c>
      <c r="AC35" s="80" t="s">
        <v>107</v>
      </c>
      <c r="AF35" s="1" t="s">
        <v>103</v>
      </c>
      <c r="AG35" s="81">
        <v>0.25</v>
      </c>
      <c r="AH35" s="81">
        <v>0.25</v>
      </c>
      <c r="AI35" s="81">
        <v>0.25</v>
      </c>
      <c r="AJ35" s="81" t="s">
        <v>107</v>
      </c>
      <c r="AK35" s="89">
        <f t="shared" si="5"/>
        <v>0.75</v>
      </c>
    </row>
    <row r="36" spans="2:37">
      <c r="B36" s="78" t="s">
        <v>106</v>
      </c>
      <c r="C36" s="79">
        <f>C7+C24+C31+C33</f>
        <v>57</v>
      </c>
      <c r="D36" s="79">
        <f t="shared" ref="D36:N36" si="6">D7+D24+D31+D33</f>
        <v>49</v>
      </c>
      <c r="E36" s="79">
        <f t="shared" si="6"/>
        <v>38</v>
      </c>
      <c r="F36" s="79">
        <f t="shared" si="6"/>
        <v>48</v>
      </c>
      <c r="G36" s="79">
        <f t="shared" si="6"/>
        <v>42</v>
      </c>
      <c r="H36" s="79">
        <f t="shared" si="6"/>
        <v>56</v>
      </c>
      <c r="I36" s="79">
        <f t="shared" si="6"/>
        <v>30</v>
      </c>
      <c r="J36" s="79">
        <f t="shared" si="6"/>
        <v>0</v>
      </c>
      <c r="K36" s="79">
        <f t="shared" si="6"/>
        <v>0</v>
      </c>
      <c r="L36" s="79">
        <f t="shared" si="6"/>
        <v>0</v>
      </c>
      <c r="M36" s="79">
        <f t="shared" si="6"/>
        <v>0</v>
      </c>
      <c r="N36" s="79">
        <f t="shared" si="6"/>
        <v>0</v>
      </c>
      <c r="O36" s="79">
        <f>SUM(C36:N36)</f>
        <v>320</v>
      </c>
      <c r="R36" s="1" t="s">
        <v>180</v>
      </c>
      <c r="S36" s="80">
        <v>3</v>
      </c>
      <c r="T36" s="80">
        <v>3</v>
      </c>
      <c r="U36" s="80">
        <v>3</v>
      </c>
      <c r="V36" s="80" t="s">
        <v>107</v>
      </c>
      <c r="W36" s="80" t="s">
        <v>107</v>
      </c>
      <c r="X36" s="80" t="s">
        <v>107</v>
      </c>
      <c r="Y36" s="80" t="s">
        <v>107</v>
      </c>
      <c r="Z36" s="80" t="s">
        <v>107</v>
      </c>
      <c r="AA36" s="80" t="s">
        <v>107</v>
      </c>
      <c r="AB36" s="80" t="s">
        <v>107</v>
      </c>
      <c r="AC36" s="80" t="s">
        <v>107</v>
      </c>
      <c r="AF36" s="1" t="s">
        <v>105</v>
      </c>
      <c r="AG36" s="81">
        <v>0.25</v>
      </c>
      <c r="AH36" s="81">
        <v>0.25</v>
      </c>
      <c r="AI36" s="81">
        <v>0.25</v>
      </c>
      <c r="AJ36" s="81" t="s">
        <v>107</v>
      </c>
      <c r="AK36" s="89">
        <f t="shared" si="5"/>
        <v>0.75</v>
      </c>
    </row>
    <row r="37" spans="2:37">
      <c r="B37" s="78" t="s">
        <v>189</v>
      </c>
      <c r="C37" s="79">
        <f>C6+C8+C9+C15+C19+C29+C30+C34+C20+C4</f>
        <v>132</v>
      </c>
      <c r="D37" s="79">
        <f t="shared" ref="D37:I37" si="7">D6+D8+D9+D15+D19+D29+D30+D34+D20+D4</f>
        <v>142</v>
      </c>
      <c r="E37" s="79">
        <f t="shared" si="7"/>
        <v>117</v>
      </c>
      <c r="F37" s="79">
        <f t="shared" si="7"/>
        <v>111</v>
      </c>
      <c r="G37" s="79">
        <f t="shared" si="7"/>
        <v>90</v>
      </c>
      <c r="H37" s="79">
        <f t="shared" si="7"/>
        <v>105</v>
      </c>
      <c r="I37" s="79">
        <f t="shared" si="7"/>
        <v>77</v>
      </c>
      <c r="J37" s="79">
        <f t="shared" ref="J37:N37" si="8">J6+J8+J9+J14+J15+J19+J29+J30+J34+J20</f>
        <v>0</v>
      </c>
      <c r="K37" s="79">
        <f t="shared" si="8"/>
        <v>0</v>
      </c>
      <c r="L37" s="79">
        <f t="shared" si="8"/>
        <v>0</v>
      </c>
      <c r="M37" s="79">
        <f t="shared" si="8"/>
        <v>0</v>
      </c>
      <c r="N37" s="79">
        <f t="shared" si="8"/>
        <v>0</v>
      </c>
      <c r="O37" s="79">
        <f>SUM(C37:N37)</f>
        <v>774</v>
      </c>
      <c r="AF37" s="1" t="s">
        <v>180</v>
      </c>
      <c r="AG37" s="81">
        <v>0.25</v>
      </c>
      <c r="AH37" s="81">
        <v>0.25</v>
      </c>
      <c r="AI37" s="81">
        <v>0.25</v>
      </c>
      <c r="AJ37" s="81" t="s">
        <v>107</v>
      </c>
      <c r="AK37" s="89">
        <f t="shared" si="5"/>
        <v>0.75</v>
      </c>
    </row>
    <row r="38" spans="2:37">
      <c r="C38" s="256">
        <f>SUM(C4:C35)</f>
        <v>3994</v>
      </c>
      <c r="D38" s="256">
        <f t="shared" ref="D38:N38" si="9">SUM(D4:D35)</f>
        <v>3867</v>
      </c>
      <c r="E38" s="256">
        <f t="shared" si="9"/>
        <v>4062</v>
      </c>
      <c r="F38" s="256">
        <f t="shared" si="9"/>
        <v>3915</v>
      </c>
      <c r="G38" s="256">
        <f t="shared" si="9"/>
        <v>3653</v>
      </c>
      <c r="H38" s="256">
        <f t="shared" si="9"/>
        <v>4196</v>
      </c>
      <c r="I38" s="256">
        <f t="shared" si="9"/>
        <v>3839</v>
      </c>
      <c r="J38" s="256">
        <f t="shared" si="9"/>
        <v>0</v>
      </c>
      <c r="K38" s="256">
        <f t="shared" si="9"/>
        <v>0</v>
      </c>
      <c r="L38" s="256">
        <f t="shared" si="9"/>
        <v>0</v>
      </c>
      <c r="M38" s="256">
        <f t="shared" si="9"/>
        <v>0</v>
      </c>
      <c r="N38" s="256">
        <f t="shared" si="9"/>
        <v>0</v>
      </c>
      <c r="O38" s="209">
        <f>SUM(O4:O35)</f>
        <v>27526</v>
      </c>
    </row>
    <row r="39" spans="2:37" ht="18.75">
      <c r="B39" s="114" t="s">
        <v>190</v>
      </c>
    </row>
    <row r="40" spans="2:37">
      <c r="B40" s="9">
        <v>1</v>
      </c>
      <c r="C40" s="9">
        <v>2</v>
      </c>
      <c r="D40" s="9">
        <v>3</v>
      </c>
      <c r="E40" s="9">
        <v>4</v>
      </c>
      <c r="F40" s="9">
        <v>5</v>
      </c>
      <c r="G40" s="9">
        <v>6</v>
      </c>
      <c r="H40" s="9">
        <v>7</v>
      </c>
      <c r="I40" s="9">
        <v>8</v>
      </c>
      <c r="J40" s="9">
        <v>9</v>
      </c>
      <c r="K40" s="9">
        <v>10</v>
      </c>
      <c r="L40" s="9">
        <v>11</v>
      </c>
      <c r="M40" s="9">
        <v>12</v>
      </c>
      <c r="N40" s="9">
        <v>13</v>
      </c>
      <c r="O40" s="9">
        <v>14</v>
      </c>
      <c r="P40" s="9">
        <v>15</v>
      </c>
      <c r="Q40" s="9">
        <v>16</v>
      </c>
      <c r="R40" s="9">
        <v>17</v>
      </c>
      <c r="S40" s="9">
        <v>18</v>
      </c>
      <c r="T40" s="9">
        <v>19</v>
      </c>
      <c r="U40" s="9">
        <v>20</v>
      </c>
    </row>
    <row r="41" spans="2:37">
      <c r="D41" s="333" t="s">
        <v>191</v>
      </c>
      <c r="E41" s="333"/>
      <c r="F41" s="333" t="s">
        <v>132</v>
      </c>
      <c r="G41" s="333"/>
      <c r="H41" s="333" t="s">
        <v>133</v>
      </c>
      <c r="I41" s="333"/>
      <c r="J41" s="333" t="s">
        <v>134</v>
      </c>
      <c r="K41" s="333"/>
      <c r="L41" s="333" t="s">
        <v>135</v>
      </c>
      <c r="M41" s="333"/>
      <c r="N41" s="333" t="s">
        <v>136</v>
      </c>
      <c r="O41" s="333"/>
      <c r="P41" s="333" t="s">
        <v>137</v>
      </c>
      <c r="Q41" s="333"/>
      <c r="R41" s="333" t="s">
        <v>138</v>
      </c>
      <c r="S41" s="333"/>
      <c r="T41" s="333" t="s">
        <v>139</v>
      </c>
      <c r="U41" s="333"/>
    </row>
    <row r="42" spans="2:37">
      <c r="B42" s="82" t="s">
        <v>127</v>
      </c>
      <c r="C42" s="84" t="s">
        <v>192</v>
      </c>
      <c r="D42" s="84" t="s">
        <v>193</v>
      </c>
      <c r="E42" s="84" t="s">
        <v>12</v>
      </c>
      <c r="F42" s="84" t="s">
        <v>193</v>
      </c>
      <c r="G42" s="84" t="s">
        <v>12</v>
      </c>
      <c r="H42" s="84" t="s">
        <v>193</v>
      </c>
      <c r="I42" s="84" t="s">
        <v>12</v>
      </c>
      <c r="J42" s="84" t="s">
        <v>193</v>
      </c>
      <c r="K42" s="84" t="s">
        <v>12</v>
      </c>
      <c r="L42" s="84" t="s">
        <v>193</v>
      </c>
      <c r="M42" s="84" t="s">
        <v>12</v>
      </c>
      <c r="N42" s="84" t="s">
        <v>193</v>
      </c>
      <c r="O42" s="84" t="s">
        <v>12</v>
      </c>
      <c r="P42" s="84" t="s">
        <v>193</v>
      </c>
      <c r="Q42" s="84" t="s">
        <v>12</v>
      </c>
      <c r="R42" s="84" t="s">
        <v>193</v>
      </c>
      <c r="S42" s="84" t="s">
        <v>12</v>
      </c>
      <c r="T42" s="84" t="s">
        <v>193</v>
      </c>
      <c r="U42" s="84" t="s">
        <v>12</v>
      </c>
    </row>
    <row r="43" spans="2:37">
      <c r="B43" s="80" t="s">
        <v>175</v>
      </c>
      <c r="C43" s="127" t="s">
        <v>194</v>
      </c>
      <c r="D43" s="83">
        <v>0.43529411764705883</v>
      </c>
      <c r="E43" s="86">
        <v>1</v>
      </c>
      <c r="F43" s="208">
        <v>0.43529411764705883</v>
      </c>
      <c r="G43" s="86">
        <v>1</v>
      </c>
      <c r="H43" s="208">
        <v>0.23270440251572327</v>
      </c>
      <c r="I43" s="86">
        <v>1</v>
      </c>
      <c r="J43" s="208">
        <v>0.23270440251572327</v>
      </c>
      <c r="K43" s="86">
        <v>1</v>
      </c>
    </row>
    <row r="44" spans="2:37">
      <c r="B44" s="2" t="s">
        <v>110</v>
      </c>
      <c r="C44" s="127" t="s">
        <v>195</v>
      </c>
      <c r="D44" s="83">
        <v>0.83783783783783783</v>
      </c>
      <c r="E44" s="86">
        <v>1</v>
      </c>
      <c r="F44" s="208">
        <v>0.83783783783783783</v>
      </c>
      <c r="G44" s="86">
        <v>1</v>
      </c>
      <c r="H44" s="208">
        <v>0.83783783783783783</v>
      </c>
      <c r="I44" s="86">
        <v>1</v>
      </c>
      <c r="J44" s="208">
        <v>0.83783783783783783</v>
      </c>
      <c r="K44" s="86">
        <v>1</v>
      </c>
    </row>
    <row r="45" spans="2:37">
      <c r="B45" s="2" t="s">
        <v>178</v>
      </c>
      <c r="C45" s="127" t="s">
        <v>196</v>
      </c>
      <c r="D45" s="83">
        <v>0.34163701067615659</v>
      </c>
      <c r="E45" s="86">
        <v>1</v>
      </c>
      <c r="F45" s="208">
        <v>0.34163701067615659</v>
      </c>
      <c r="G45" s="86">
        <v>1</v>
      </c>
      <c r="H45" s="208">
        <v>0.34163701067615659</v>
      </c>
      <c r="I45" s="86">
        <v>1</v>
      </c>
      <c r="J45" s="208">
        <v>0.34163701067615659</v>
      </c>
      <c r="K45" s="86">
        <v>1</v>
      </c>
    </row>
    <row r="46" spans="2:37">
      <c r="B46" s="2" t="s">
        <v>176</v>
      </c>
      <c r="C46" s="127" t="s">
        <v>197</v>
      </c>
      <c r="D46" s="83">
        <v>0.10422163588390501</v>
      </c>
      <c r="E46" s="86">
        <v>0.42857142857142855</v>
      </c>
      <c r="F46" s="208">
        <v>0.10422163588390501</v>
      </c>
      <c r="G46" s="86">
        <v>0.42857142857142855</v>
      </c>
      <c r="H46" s="208">
        <v>0.1029143897996357</v>
      </c>
      <c r="I46" s="86">
        <v>0.42857142857142855</v>
      </c>
      <c r="J46" s="208">
        <v>0.1029143897996357</v>
      </c>
      <c r="K46" s="86">
        <v>0.42857142857142855</v>
      </c>
    </row>
    <row r="47" spans="2:37">
      <c r="B47" s="2" t="s">
        <v>111</v>
      </c>
      <c r="C47" s="127" t="s">
        <v>198</v>
      </c>
      <c r="D47" s="83">
        <v>0.53551912568306015</v>
      </c>
      <c r="E47" s="86">
        <v>0</v>
      </c>
      <c r="F47" s="208">
        <v>0.53551912568306015</v>
      </c>
      <c r="G47" s="86"/>
      <c r="H47" s="208">
        <v>0.53551912568306015</v>
      </c>
      <c r="I47" s="86"/>
      <c r="J47" s="208">
        <v>0.53551912568306015</v>
      </c>
      <c r="K47" s="86"/>
    </row>
    <row r="48" spans="2:37">
      <c r="B48" s="2" t="s">
        <v>199</v>
      </c>
      <c r="C48" s="127" t="s">
        <v>200</v>
      </c>
      <c r="D48" s="83"/>
      <c r="E48" s="86"/>
      <c r="F48" s="208"/>
      <c r="G48" s="86">
        <v>1</v>
      </c>
      <c r="H48" s="208"/>
      <c r="I48" s="86">
        <v>1</v>
      </c>
      <c r="J48" s="208"/>
      <c r="K48" s="86">
        <v>1</v>
      </c>
    </row>
    <row r="49" spans="2:11">
      <c r="B49" s="2" t="s">
        <v>103</v>
      </c>
      <c r="C49" s="127" t="s">
        <v>201</v>
      </c>
      <c r="D49" s="83">
        <v>0.96668581275129239</v>
      </c>
      <c r="E49" s="86">
        <v>1</v>
      </c>
      <c r="F49" s="208">
        <v>0.96668581275129239</v>
      </c>
      <c r="G49" s="86">
        <v>1</v>
      </c>
      <c r="H49" s="208">
        <v>0.92381919756221431</v>
      </c>
      <c r="I49" s="86">
        <v>1</v>
      </c>
      <c r="J49" s="208">
        <v>0.92381919756221431</v>
      </c>
      <c r="K49" s="86">
        <v>1</v>
      </c>
    </row>
    <row r="50" spans="2:11">
      <c r="B50" s="2" t="s">
        <v>83</v>
      </c>
      <c r="C50" s="127" t="s">
        <v>202</v>
      </c>
      <c r="D50" s="83">
        <v>0.84062980030721968</v>
      </c>
      <c r="E50" s="86">
        <v>0.9953146531924667</v>
      </c>
      <c r="F50" s="208">
        <v>0.84062980030721968</v>
      </c>
      <c r="G50" s="86">
        <v>0.9953146531924667</v>
      </c>
      <c r="H50" s="208">
        <v>0.81437427912341409</v>
      </c>
      <c r="I50" s="86">
        <v>0.98448729184925499</v>
      </c>
      <c r="J50" s="208">
        <v>0.81437427912341409</v>
      </c>
      <c r="K50" s="86">
        <v>0.98448729184925499</v>
      </c>
    </row>
    <row r="51" spans="2:11">
      <c r="B51" s="2" t="s">
        <v>91</v>
      </c>
      <c r="C51" s="127" t="s">
        <v>203</v>
      </c>
      <c r="D51" s="83">
        <v>1</v>
      </c>
      <c r="E51" s="86">
        <v>1</v>
      </c>
      <c r="F51" s="208">
        <v>1</v>
      </c>
      <c r="G51" s="86">
        <v>1</v>
      </c>
      <c r="H51" s="208">
        <v>0.99916036943744757</v>
      </c>
      <c r="I51" s="86">
        <v>0.98931623931623935</v>
      </c>
      <c r="J51" s="208">
        <v>0.99916036943744757</v>
      </c>
      <c r="K51" s="86">
        <v>0.98931623931623935</v>
      </c>
    </row>
    <row r="52" spans="2:11">
      <c r="B52" s="2" t="s">
        <v>112</v>
      </c>
      <c r="C52" s="128" t="s">
        <v>204</v>
      </c>
      <c r="D52" s="83">
        <v>1</v>
      </c>
      <c r="E52" s="86">
        <v>1</v>
      </c>
      <c r="F52" s="208">
        <v>1</v>
      </c>
      <c r="G52" s="86">
        <v>1</v>
      </c>
      <c r="H52" s="208">
        <v>1</v>
      </c>
      <c r="I52" s="86">
        <v>1</v>
      </c>
      <c r="J52" s="208">
        <v>1</v>
      </c>
      <c r="K52" s="86">
        <v>1</v>
      </c>
    </row>
    <row r="53" spans="2:11">
      <c r="B53" s="2" t="s">
        <v>179</v>
      </c>
      <c r="C53" s="127" t="s">
        <v>205</v>
      </c>
      <c r="D53" s="83">
        <v>1</v>
      </c>
      <c r="E53" s="86">
        <v>1</v>
      </c>
      <c r="F53" s="208">
        <v>1</v>
      </c>
      <c r="G53" s="86">
        <v>1</v>
      </c>
      <c r="H53" s="208">
        <v>1</v>
      </c>
      <c r="I53" s="86">
        <v>1</v>
      </c>
      <c r="J53" s="208">
        <v>1</v>
      </c>
      <c r="K53" s="86">
        <v>1</v>
      </c>
    </row>
    <row r="54" spans="2:11">
      <c r="B54" s="2" t="s">
        <v>92</v>
      </c>
      <c r="C54" s="127" t="s">
        <v>206</v>
      </c>
      <c r="D54" s="83">
        <v>0.95618221258134495</v>
      </c>
      <c r="E54" s="86">
        <v>0.95864197530864192</v>
      </c>
      <c r="F54" s="208">
        <v>0.95618221258134495</v>
      </c>
      <c r="G54" s="86">
        <v>0.95864197530864192</v>
      </c>
      <c r="H54" s="208">
        <v>0.95211389128559099</v>
      </c>
      <c r="I54" s="86">
        <v>0.91666666666666663</v>
      </c>
      <c r="J54" s="208">
        <v>0.95211389128559099</v>
      </c>
      <c r="K54" s="86">
        <v>0.91666666666666663</v>
      </c>
    </row>
    <row r="55" spans="2:11">
      <c r="B55" s="2" t="s">
        <v>96</v>
      </c>
      <c r="C55" s="127" t="s">
        <v>207</v>
      </c>
      <c r="D55" s="83">
        <v>0.98999090081892627</v>
      </c>
      <c r="E55" s="86">
        <v>0.9642857142857143</v>
      </c>
      <c r="F55" s="208">
        <v>0.98999090081892627</v>
      </c>
      <c r="G55" s="86">
        <v>0.9642857142857143</v>
      </c>
      <c r="H55" s="208">
        <v>0.95265306122448978</v>
      </c>
      <c r="I55" s="86">
        <v>0.96969696969696972</v>
      </c>
      <c r="J55" s="208">
        <v>0.95265306122448978</v>
      </c>
      <c r="K55" s="86">
        <v>0.96969696969696972</v>
      </c>
    </row>
    <row r="56" spans="2:11">
      <c r="B56" s="2" t="s">
        <v>181</v>
      </c>
      <c r="C56" s="127" t="s">
        <v>208</v>
      </c>
      <c r="D56" s="83">
        <v>0.71311475409836067</v>
      </c>
      <c r="E56" s="86">
        <v>1</v>
      </c>
      <c r="F56" s="208">
        <v>0.71311475409836067</v>
      </c>
      <c r="G56" s="86">
        <v>1</v>
      </c>
      <c r="H56" s="208">
        <v>0.71311475409836067</v>
      </c>
      <c r="I56" s="86">
        <v>1</v>
      </c>
      <c r="J56" s="208">
        <v>0.71311475409836067</v>
      </c>
      <c r="K56" s="86">
        <v>1</v>
      </c>
    </row>
    <row r="57" spans="2:11">
      <c r="B57" s="2" t="s">
        <v>100</v>
      </c>
      <c r="C57" s="127" t="s">
        <v>209</v>
      </c>
      <c r="D57" s="83">
        <v>0.8949880668257757</v>
      </c>
      <c r="E57" s="86">
        <v>1</v>
      </c>
      <c r="F57" s="208">
        <v>0.8949880668257757</v>
      </c>
      <c r="G57" s="86">
        <v>1</v>
      </c>
      <c r="H57" s="208">
        <v>0.83870967741935487</v>
      </c>
      <c r="I57" s="86">
        <v>0.94</v>
      </c>
      <c r="J57" s="208">
        <v>0.83870967741935487</v>
      </c>
      <c r="K57" s="86">
        <v>0.94</v>
      </c>
    </row>
    <row r="58" spans="2:11">
      <c r="B58" s="2" t="s">
        <v>182</v>
      </c>
      <c r="C58" s="127" t="s">
        <v>210</v>
      </c>
      <c r="D58" s="83">
        <v>1</v>
      </c>
      <c r="E58" s="86">
        <v>1</v>
      </c>
      <c r="F58" s="208">
        <v>1</v>
      </c>
      <c r="G58" s="86">
        <v>1</v>
      </c>
      <c r="H58" s="208">
        <v>1</v>
      </c>
      <c r="I58" s="86">
        <v>1</v>
      </c>
      <c r="J58" s="208">
        <v>1</v>
      </c>
      <c r="K58" s="86">
        <v>1</v>
      </c>
    </row>
    <row r="59" spans="2:11">
      <c r="B59" s="2" t="s">
        <v>109</v>
      </c>
      <c r="C59" s="129" t="s">
        <v>211</v>
      </c>
      <c r="D59" s="83">
        <v>3.5587188612099642E-3</v>
      </c>
      <c r="E59" s="86">
        <v>0</v>
      </c>
      <c r="F59" s="208">
        <v>3.5587188612099642E-3</v>
      </c>
      <c r="G59" s="86"/>
      <c r="H59" s="208">
        <v>3.5587188612099642E-3</v>
      </c>
      <c r="I59" s="86"/>
      <c r="J59" s="208">
        <v>3.5587188612099642E-3</v>
      </c>
      <c r="K59" s="86"/>
    </row>
    <row r="60" spans="2:11">
      <c r="B60" s="2" t="s">
        <v>97</v>
      </c>
      <c r="C60" s="127" t="s">
        <v>212</v>
      </c>
      <c r="D60" s="83">
        <v>0.97774244833068358</v>
      </c>
      <c r="E60" s="86">
        <v>1</v>
      </c>
      <c r="F60" s="208">
        <v>0.97774244833068358</v>
      </c>
      <c r="G60" s="86">
        <v>1</v>
      </c>
      <c r="H60" s="208">
        <v>0.97275204359673029</v>
      </c>
      <c r="I60" s="86">
        <v>1</v>
      </c>
      <c r="J60" s="208">
        <v>0.97275204359673029</v>
      </c>
      <c r="K60" s="86">
        <v>1</v>
      </c>
    </row>
    <row r="61" spans="2:11">
      <c r="B61" s="2" t="s">
        <v>183</v>
      </c>
      <c r="C61" s="127" t="s">
        <v>213</v>
      </c>
      <c r="D61" s="83">
        <v>0.58857142857142852</v>
      </c>
      <c r="E61" s="86">
        <v>0.89393939393939392</v>
      </c>
      <c r="F61" s="208">
        <v>0.58857142857142852</v>
      </c>
      <c r="G61" s="86">
        <v>0.89393939393939392</v>
      </c>
      <c r="H61" s="208">
        <v>0.64380952380952383</v>
      </c>
      <c r="I61" s="86">
        <v>0.84545454545454546</v>
      </c>
      <c r="J61" s="208">
        <v>0.64380952380952383</v>
      </c>
      <c r="K61" s="86">
        <v>0.84545454545454546</v>
      </c>
    </row>
    <row r="62" spans="2:11">
      <c r="B62" s="2" t="s">
        <v>89</v>
      </c>
      <c r="C62" s="127" t="s">
        <v>214</v>
      </c>
      <c r="D62" s="83">
        <v>1</v>
      </c>
      <c r="E62" s="38">
        <v>0.96299999999999997</v>
      </c>
      <c r="F62" s="208"/>
      <c r="G62" s="86"/>
      <c r="H62" s="208">
        <v>0.76666666666666661</v>
      </c>
      <c r="I62" s="86">
        <v>0.96511627906976749</v>
      </c>
      <c r="J62" s="208">
        <v>0</v>
      </c>
      <c r="K62" s="86">
        <v>0.94199999999999995</v>
      </c>
    </row>
    <row r="63" spans="2:11">
      <c r="B63" s="2" t="s">
        <v>98</v>
      </c>
      <c r="C63" s="127" t="s">
        <v>215</v>
      </c>
      <c r="D63" s="83">
        <v>0.92890995260663511</v>
      </c>
      <c r="E63" s="86">
        <v>1</v>
      </c>
      <c r="F63" s="208">
        <v>0.92890995260663511</v>
      </c>
      <c r="G63" s="86">
        <v>1</v>
      </c>
      <c r="H63" s="208">
        <v>0.82099343955014059</v>
      </c>
      <c r="I63" s="86">
        <v>1</v>
      </c>
      <c r="J63" s="208">
        <v>0.82099343955014059</v>
      </c>
      <c r="K63" s="86">
        <v>1</v>
      </c>
    </row>
    <row r="64" spans="2:11">
      <c r="B64" s="2" t="s">
        <v>0</v>
      </c>
      <c r="C64" s="127" t="s">
        <v>216</v>
      </c>
      <c r="D64" s="83">
        <v>1</v>
      </c>
      <c r="E64" s="86">
        <v>1</v>
      </c>
      <c r="F64" s="208">
        <v>1</v>
      </c>
      <c r="G64" s="86">
        <v>1</v>
      </c>
      <c r="H64" s="208">
        <v>1</v>
      </c>
      <c r="I64" s="86">
        <v>0.95964432284541723</v>
      </c>
      <c r="J64" s="208">
        <v>1</v>
      </c>
      <c r="K64" s="86">
        <v>0.95964432284541723</v>
      </c>
    </row>
    <row r="65" spans="2:21">
      <c r="B65" s="2" t="s">
        <v>102</v>
      </c>
      <c r="C65" s="127" t="s">
        <v>217</v>
      </c>
      <c r="D65" s="83">
        <v>0.98919308357348701</v>
      </c>
      <c r="E65" s="86">
        <v>0.84</v>
      </c>
      <c r="F65" s="208">
        <v>0.98919308357348701</v>
      </c>
      <c r="G65" s="86">
        <v>0.84</v>
      </c>
      <c r="H65" s="208">
        <v>0.93508936970837253</v>
      </c>
      <c r="I65" s="86">
        <v>0.86956521739130432</v>
      </c>
      <c r="J65" s="208">
        <v>0.93508936970837253</v>
      </c>
      <c r="K65" s="86">
        <v>0.86956521739130432</v>
      </c>
    </row>
    <row r="66" spans="2:21">
      <c r="B66" s="2" t="s">
        <v>99</v>
      </c>
      <c r="C66" s="127" t="s">
        <v>218</v>
      </c>
      <c r="D66" s="83">
        <v>1</v>
      </c>
      <c r="E66" s="86">
        <v>1</v>
      </c>
      <c r="F66" s="208">
        <v>1</v>
      </c>
      <c r="G66" s="86">
        <v>1</v>
      </c>
      <c r="H66" s="208">
        <v>1</v>
      </c>
      <c r="I66" s="86">
        <v>1</v>
      </c>
      <c r="J66" s="208">
        <v>1</v>
      </c>
      <c r="K66" s="86">
        <v>1</v>
      </c>
    </row>
    <row r="67" spans="2:21">
      <c r="B67" s="2" t="s">
        <v>185</v>
      </c>
      <c r="C67" s="127" t="s">
        <v>219</v>
      </c>
      <c r="D67" s="83">
        <v>0.2847058823529412</v>
      </c>
      <c r="E67" s="86">
        <v>0.6</v>
      </c>
      <c r="F67" s="208">
        <v>0.2847058823529412</v>
      </c>
      <c r="G67" s="86">
        <v>0.6</v>
      </c>
      <c r="H67" s="208">
        <v>0.2847058823529412</v>
      </c>
      <c r="I67" s="86">
        <v>0.6</v>
      </c>
      <c r="J67" s="208">
        <v>0.2847058823529412</v>
      </c>
      <c r="K67" s="86">
        <v>0.6</v>
      </c>
    </row>
    <row r="68" spans="2:21">
      <c r="B68" s="2" t="s">
        <v>186</v>
      </c>
      <c r="C68" s="129" t="s">
        <v>220</v>
      </c>
      <c r="D68" s="83">
        <v>0.21100917431192662</v>
      </c>
      <c r="E68" s="86">
        <v>1</v>
      </c>
      <c r="F68" s="208">
        <v>0.21100917431192662</v>
      </c>
      <c r="G68" s="86">
        <v>1</v>
      </c>
      <c r="H68" s="208">
        <v>0.15181518151815182</v>
      </c>
      <c r="I68" s="86">
        <v>1</v>
      </c>
      <c r="J68" s="208">
        <v>0.15181518151815182</v>
      </c>
      <c r="K68" s="86">
        <v>1</v>
      </c>
    </row>
    <row r="69" spans="2:21">
      <c r="B69" s="2" t="s">
        <v>184</v>
      </c>
      <c r="C69" s="129" t="s">
        <v>221</v>
      </c>
      <c r="D69" s="83">
        <v>1</v>
      </c>
      <c r="E69" s="86">
        <v>1</v>
      </c>
      <c r="F69" s="208">
        <v>1</v>
      </c>
      <c r="G69" s="86">
        <v>1</v>
      </c>
      <c r="H69" s="208">
        <v>1</v>
      </c>
      <c r="I69" s="86">
        <v>1</v>
      </c>
      <c r="J69" s="208">
        <v>1</v>
      </c>
      <c r="K69" s="86">
        <v>1</v>
      </c>
    </row>
    <row r="70" spans="2:21">
      <c r="B70" s="2" t="s">
        <v>28</v>
      </c>
      <c r="C70" s="129" t="s">
        <v>222</v>
      </c>
      <c r="D70" s="83">
        <v>1</v>
      </c>
      <c r="E70" s="86">
        <v>0.96969696969696972</v>
      </c>
      <c r="F70" s="208">
        <v>1</v>
      </c>
      <c r="G70" s="86">
        <v>0.96969696969696972</v>
      </c>
      <c r="H70" s="208">
        <v>1</v>
      </c>
      <c r="I70" s="86">
        <v>0.96969696969696972</v>
      </c>
      <c r="J70" s="208">
        <v>1</v>
      </c>
      <c r="K70" s="86">
        <v>0.96969696969696972</v>
      </c>
    </row>
    <row r="71" spans="2:21">
      <c r="B71" s="2" t="s">
        <v>94</v>
      </c>
      <c r="C71" s="129" t="s">
        <v>223</v>
      </c>
      <c r="D71" s="83">
        <v>0.90638810767376454</v>
      </c>
      <c r="E71" s="86">
        <v>0.90604575163398693</v>
      </c>
      <c r="F71" s="208">
        <v>0.90638810767376454</v>
      </c>
      <c r="G71" s="86">
        <v>0.90604575163398693</v>
      </c>
      <c r="H71" s="208">
        <v>0.899129746835443</v>
      </c>
      <c r="I71" s="86">
        <v>0.90604575163398693</v>
      </c>
      <c r="J71" s="208">
        <v>0.899129746835443</v>
      </c>
      <c r="K71" s="86">
        <v>0.90604575163398693</v>
      </c>
    </row>
    <row r="72" spans="2:21">
      <c r="B72" s="80" t="s">
        <v>106</v>
      </c>
      <c r="C72" s="137" t="s">
        <v>106</v>
      </c>
      <c r="D72" s="83">
        <f>AVERAGE(D46,D61,D68)</f>
        <v>0.30126741292242004</v>
      </c>
      <c r="E72" s="83">
        <f>AVERAGE(E46,E61,E68)</f>
        <v>0.77417027417027418</v>
      </c>
      <c r="F72" s="208">
        <f t="shared" ref="F72:I72" si="10">AVERAGE(F46,F61,F68)</f>
        <v>0.30126741292242004</v>
      </c>
      <c r="G72" s="208">
        <f t="shared" si="10"/>
        <v>0.77417027417027418</v>
      </c>
      <c r="H72" s="208">
        <f t="shared" si="10"/>
        <v>0.29951303170910376</v>
      </c>
      <c r="I72" s="208">
        <f t="shared" si="10"/>
        <v>0.75800865800865802</v>
      </c>
      <c r="J72" s="208">
        <v>0.29951303170910376</v>
      </c>
      <c r="K72" s="208">
        <v>0.75800865800865802</v>
      </c>
    </row>
    <row r="73" spans="2:21">
      <c r="B73" s="80" t="s">
        <v>105</v>
      </c>
      <c r="C73" s="137" t="s">
        <v>105</v>
      </c>
      <c r="D73" s="83">
        <f>AVERAGE(D43,D45,D53,D56,D58,D67,D69,D70)</f>
        <v>0.72184397059681471</v>
      </c>
      <c r="E73" s="83">
        <f>AVERAGE(E43,E45,E53,E56,E58,E67,E69,E70)</f>
        <v>0.94621212121212117</v>
      </c>
      <c r="F73" s="83">
        <f t="shared" ref="F73" si="11">AVERAGE(F43,F45,F53,F56,F58,F67,F69,F70)</f>
        <v>0.72184397059681471</v>
      </c>
      <c r="G73" s="83">
        <f>AVERAGE(G43,G45,G53,G56,G58,G67,G69,G70,G48)</f>
        <v>0.95218855218855225</v>
      </c>
      <c r="H73" s="83">
        <f t="shared" ref="H73:I73" si="12">AVERAGE(H43,H45,H53,H56,H58,H67,H69,H70,H48)</f>
        <v>0.6965202562053977</v>
      </c>
      <c r="I73" s="83">
        <f t="shared" si="12"/>
        <v>0.95218855218855225</v>
      </c>
      <c r="J73" s="83">
        <v>0.6965202562053977</v>
      </c>
      <c r="K73" s="83">
        <v>0.95218855218855225</v>
      </c>
    </row>
    <row r="75" spans="2:21" ht="18.75">
      <c r="B75" s="114" t="s">
        <v>224</v>
      </c>
    </row>
    <row r="76" spans="2:21">
      <c r="C76" s="9">
        <v>1</v>
      </c>
      <c r="D76" s="9">
        <v>2</v>
      </c>
      <c r="E76" s="9">
        <v>3</v>
      </c>
      <c r="F76" s="9">
        <v>4</v>
      </c>
      <c r="G76" s="9">
        <v>5</v>
      </c>
      <c r="H76" s="9">
        <v>6</v>
      </c>
      <c r="I76" s="9">
        <v>7</v>
      </c>
      <c r="J76" s="9">
        <v>8</v>
      </c>
      <c r="K76" s="9">
        <v>9</v>
      </c>
      <c r="L76" s="9">
        <v>10</v>
      </c>
      <c r="M76" s="9">
        <v>11</v>
      </c>
      <c r="N76" s="9">
        <v>12</v>
      </c>
      <c r="O76" s="9">
        <v>13</v>
      </c>
      <c r="P76" s="9">
        <v>14</v>
      </c>
      <c r="Q76" s="9">
        <v>15</v>
      </c>
      <c r="R76" s="9">
        <v>16</v>
      </c>
      <c r="S76" s="9">
        <v>17</v>
      </c>
      <c r="T76" s="9">
        <v>18</v>
      </c>
      <c r="U76" s="9">
        <v>19</v>
      </c>
    </row>
    <row r="77" spans="2:21">
      <c r="D77" s="333" t="s">
        <v>191</v>
      </c>
      <c r="E77" s="333"/>
      <c r="F77" s="333" t="s">
        <v>132</v>
      </c>
      <c r="G77" s="333"/>
      <c r="H77" s="333" t="s">
        <v>133</v>
      </c>
      <c r="I77" s="333"/>
      <c r="J77" s="333" t="s">
        <v>134</v>
      </c>
      <c r="K77" s="333"/>
      <c r="L77" s="333" t="s">
        <v>135</v>
      </c>
      <c r="M77" s="333"/>
      <c r="N77" s="333" t="s">
        <v>136</v>
      </c>
      <c r="O77" s="333"/>
      <c r="P77" s="333" t="s">
        <v>137</v>
      </c>
      <c r="Q77" s="333"/>
      <c r="R77" s="333" t="s">
        <v>138</v>
      </c>
      <c r="S77" s="333"/>
      <c r="T77" s="333" t="s">
        <v>139</v>
      </c>
      <c r="U77" s="333"/>
    </row>
    <row r="78" spans="2:21">
      <c r="C78" s="87" t="s">
        <v>127</v>
      </c>
      <c r="D78" s="82" t="s">
        <v>6</v>
      </c>
      <c r="E78" s="82" t="s">
        <v>7</v>
      </c>
      <c r="F78" s="82" t="s">
        <v>6</v>
      </c>
      <c r="G78" s="82" t="s">
        <v>7</v>
      </c>
      <c r="H78" s="82" t="s">
        <v>6</v>
      </c>
      <c r="I78" s="82" t="s">
        <v>7</v>
      </c>
      <c r="J78" s="82" t="s">
        <v>6</v>
      </c>
      <c r="K78" s="82" t="s">
        <v>7</v>
      </c>
      <c r="L78" s="82" t="s">
        <v>6</v>
      </c>
      <c r="M78" s="82" t="s">
        <v>7</v>
      </c>
      <c r="N78" s="82" t="s">
        <v>6</v>
      </c>
      <c r="O78" s="82" t="s">
        <v>7</v>
      </c>
      <c r="P78" s="82" t="s">
        <v>6</v>
      </c>
      <c r="Q78" s="82" t="s">
        <v>7</v>
      </c>
      <c r="R78" s="82" t="s">
        <v>6</v>
      </c>
      <c r="S78" s="82" t="s">
        <v>7</v>
      </c>
      <c r="T78" s="82" t="s">
        <v>6</v>
      </c>
      <c r="U78" s="82" t="s">
        <v>7</v>
      </c>
    </row>
    <row r="79" spans="2:21">
      <c r="C79" s="11" t="s">
        <v>83</v>
      </c>
      <c r="D79" s="98">
        <v>0.79300000000000004</v>
      </c>
      <c r="E79" s="98">
        <v>0.95799999999999996</v>
      </c>
      <c r="F79" s="12">
        <v>0.78400000000000003</v>
      </c>
      <c r="G79" s="12">
        <v>0.95699999999999996</v>
      </c>
      <c r="H79" s="98">
        <v>0.78800000000000003</v>
      </c>
      <c r="I79" s="12">
        <v>0.95599999999999996</v>
      </c>
      <c r="J79" s="12">
        <v>0.79100000000000004</v>
      </c>
      <c r="K79" s="12">
        <v>0.95799999999999996</v>
      </c>
      <c r="L79" s="98"/>
      <c r="M79" s="98"/>
      <c r="N79" s="98"/>
      <c r="O79" s="98"/>
      <c r="P79" s="98"/>
      <c r="Q79" s="98"/>
      <c r="R79" s="98"/>
      <c r="S79" s="98"/>
      <c r="T79" s="98"/>
      <c r="U79" s="98"/>
    </row>
    <row r="80" spans="2:21">
      <c r="C80" s="11" t="s">
        <v>91</v>
      </c>
      <c r="D80" s="98">
        <v>0.94799999999999995</v>
      </c>
      <c r="E80" s="98">
        <v>0.93700000000000006</v>
      </c>
      <c r="F80" s="12">
        <v>0.95099999999999996</v>
      </c>
      <c r="G80" s="12">
        <v>0.93500000000000005</v>
      </c>
      <c r="H80" s="98">
        <v>0.95499999999999996</v>
      </c>
      <c r="I80" s="12">
        <v>0.93400000000000005</v>
      </c>
      <c r="J80" s="12">
        <v>0.95299999999999996</v>
      </c>
      <c r="K80" s="12">
        <v>0.93700000000000006</v>
      </c>
      <c r="L80" s="98"/>
      <c r="M80" s="98"/>
      <c r="N80" s="98"/>
      <c r="O80" s="98"/>
      <c r="P80" s="98"/>
      <c r="Q80" s="98"/>
      <c r="R80" s="98"/>
      <c r="S80" s="98"/>
      <c r="T80" s="98"/>
      <c r="U80" s="98"/>
    </row>
    <row r="81" spans="2:21">
      <c r="C81" s="11" t="s">
        <v>92</v>
      </c>
      <c r="D81" s="98">
        <v>0.86299999999999999</v>
      </c>
      <c r="E81" s="98">
        <v>0.99199999999999999</v>
      </c>
      <c r="F81" s="12">
        <v>0.86799999999999999</v>
      </c>
      <c r="G81" s="12">
        <v>0.98199999999999998</v>
      </c>
      <c r="H81" s="98">
        <v>0.873</v>
      </c>
      <c r="I81" s="12">
        <v>0.97399999999999998</v>
      </c>
      <c r="J81" s="12">
        <v>0.871</v>
      </c>
      <c r="K81" s="12">
        <v>0.96299999999999997</v>
      </c>
      <c r="L81" s="98"/>
      <c r="M81" s="98"/>
      <c r="N81" s="98"/>
      <c r="O81" s="98"/>
      <c r="P81" s="98"/>
      <c r="Q81" s="98"/>
      <c r="R81" s="98"/>
      <c r="S81" s="98"/>
      <c r="T81" s="98"/>
      <c r="U81" s="98"/>
    </row>
    <row r="82" spans="2:21">
      <c r="C82" s="11" t="s">
        <v>0</v>
      </c>
      <c r="D82" s="98">
        <v>0.872</v>
      </c>
      <c r="E82" s="98">
        <v>0.97099999999999997</v>
      </c>
      <c r="F82" s="12">
        <v>0.879</v>
      </c>
      <c r="G82" s="12">
        <v>0.97599999999999998</v>
      </c>
      <c r="H82" s="98">
        <v>0.879</v>
      </c>
      <c r="I82" s="12">
        <v>0.98</v>
      </c>
      <c r="J82" s="12">
        <v>0.88700000000000001</v>
      </c>
      <c r="K82" s="12">
        <v>0.97</v>
      </c>
      <c r="L82" s="98"/>
      <c r="M82" s="98"/>
      <c r="N82" s="98"/>
      <c r="O82" s="98"/>
      <c r="P82" s="98"/>
      <c r="Q82" s="98"/>
      <c r="R82" s="98"/>
      <c r="S82" s="98"/>
      <c r="T82" s="98"/>
      <c r="U82" s="98"/>
    </row>
    <row r="83" spans="2:21">
      <c r="C83" s="11" t="s">
        <v>89</v>
      </c>
      <c r="D83" s="98">
        <v>0.84699999999999998</v>
      </c>
      <c r="E83" s="98">
        <v>0.91100000000000003</v>
      </c>
      <c r="F83" s="12">
        <v>0.83799999999999997</v>
      </c>
      <c r="G83" s="12">
        <v>0.91800000000000004</v>
      </c>
      <c r="H83" s="98">
        <v>0.84199999999999997</v>
      </c>
      <c r="I83" s="12">
        <v>0.92</v>
      </c>
      <c r="J83" s="12">
        <v>0.84799999999999998</v>
      </c>
      <c r="K83" s="12">
        <v>0.91800000000000004</v>
      </c>
      <c r="L83" s="98"/>
      <c r="M83" s="98"/>
      <c r="N83" s="98"/>
      <c r="O83" s="98"/>
      <c r="P83" s="98"/>
      <c r="Q83" s="98"/>
      <c r="R83" s="98"/>
      <c r="S83" s="98"/>
      <c r="T83" s="98"/>
      <c r="U83" s="98"/>
    </row>
    <row r="84" spans="2:21">
      <c r="C84" s="11" t="s">
        <v>94</v>
      </c>
      <c r="D84" s="98">
        <v>0.99099999999999999</v>
      </c>
      <c r="E84" s="98">
        <v>0.98099999999999998</v>
      </c>
      <c r="F84" s="12">
        <v>0.99299999999999999</v>
      </c>
      <c r="G84" s="12">
        <v>0.98599999999999999</v>
      </c>
      <c r="H84" s="98">
        <v>0.99399999999999999</v>
      </c>
      <c r="I84" s="12">
        <v>0.98799999999999999</v>
      </c>
      <c r="J84" s="12">
        <v>0.99199999999999999</v>
      </c>
      <c r="K84" s="12">
        <v>0.98899999999999999</v>
      </c>
      <c r="L84" s="98"/>
      <c r="M84" s="98"/>
      <c r="N84" s="98"/>
      <c r="O84" s="98"/>
      <c r="P84" s="98"/>
      <c r="Q84" s="98"/>
      <c r="R84" s="98"/>
      <c r="S84" s="98"/>
      <c r="T84" s="98"/>
      <c r="U84" s="98"/>
    </row>
    <row r="85" spans="2:21">
      <c r="C85" s="14" t="s">
        <v>103</v>
      </c>
      <c r="D85" s="98">
        <v>0.88200000000000001</v>
      </c>
      <c r="E85" s="98">
        <v>0.93</v>
      </c>
      <c r="F85" s="12">
        <v>0.89300000000000002</v>
      </c>
      <c r="G85" s="12">
        <v>0.92400000000000004</v>
      </c>
      <c r="H85" s="98">
        <v>0.89600000000000002</v>
      </c>
      <c r="I85" s="12">
        <v>0.92800000000000005</v>
      </c>
      <c r="J85" s="12">
        <v>0.89500000000000002</v>
      </c>
      <c r="K85" s="12">
        <v>0.93400000000000005</v>
      </c>
      <c r="L85" s="98"/>
      <c r="M85" s="98"/>
      <c r="N85" s="98"/>
      <c r="O85" s="98"/>
      <c r="P85" s="98"/>
      <c r="Q85" s="98"/>
      <c r="R85" s="98"/>
      <c r="S85" s="98"/>
      <c r="T85" s="98"/>
      <c r="U85" s="98"/>
    </row>
    <row r="86" spans="2:21">
      <c r="C86" s="14" t="s">
        <v>96</v>
      </c>
      <c r="D86" s="98">
        <v>0.77100000000000002</v>
      </c>
      <c r="E86" s="98">
        <v>0.95899999999999996</v>
      </c>
      <c r="F86" s="12">
        <v>0.77700000000000002</v>
      </c>
      <c r="G86" s="12">
        <v>0.94499999999999995</v>
      </c>
      <c r="H86" s="98">
        <v>0.746</v>
      </c>
      <c r="I86" s="12">
        <v>0.94399999999999995</v>
      </c>
      <c r="J86" s="12">
        <v>0.755</v>
      </c>
      <c r="K86" s="12">
        <v>0.94899999999999995</v>
      </c>
      <c r="L86" s="98"/>
      <c r="M86" s="98"/>
      <c r="N86" s="98"/>
      <c r="O86" s="98"/>
      <c r="P86" s="98"/>
      <c r="Q86" s="98"/>
      <c r="R86" s="98"/>
      <c r="S86" s="98"/>
      <c r="T86" s="98"/>
      <c r="U86" s="98"/>
    </row>
    <row r="87" spans="2:21">
      <c r="C87" s="14" t="s">
        <v>100</v>
      </c>
      <c r="D87" s="98">
        <v>0.76600000000000001</v>
      </c>
      <c r="E87" s="99">
        <v>0.78400000000000003</v>
      </c>
      <c r="F87" s="12">
        <v>0.75700000000000001</v>
      </c>
      <c r="G87" s="12">
        <v>0.86199999999999999</v>
      </c>
      <c r="H87" s="98">
        <v>0.76</v>
      </c>
      <c r="I87" s="12">
        <v>0.88200000000000001</v>
      </c>
      <c r="J87" s="12">
        <v>0.76100000000000001</v>
      </c>
      <c r="K87" s="12">
        <v>0.878</v>
      </c>
      <c r="L87" s="98"/>
      <c r="M87" s="100"/>
      <c r="N87" s="98"/>
      <c r="O87" s="100"/>
      <c r="P87" s="98"/>
      <c r="Q87" s="100"/>
      <c r="R87" s="98"/>
      <c r="S87" s="100"/>
      <c r="T87" s="98"/>
      <c r="U87" s="100"/>
    </row>
    <row r="88" spans="2:21">
      <c r="C88" s="14" t="s">
        <v>97</v>
      </c>
      <c r="D88" s="99">
        <v>0.624</v>
      </c>
      <c r="E88" s="98">
        <v>1</v>
      </c>
      <c r="F88" s="13">
        <v>0.64300000000000002</v>
      </c>
      <c r="G88" s="12">
        <v>1</v>
      </c>
      <c r="H88" s="100">
        <v>0.65800000000000003</v>
      </c>
      <c r="I88" s="12">
        <v>0.995</v>
      </c>
      <c r="J88" s="13">
        <v>0.66300000000000003</v>
      </c>
      <c r="K88" s="12">
        <v>0.99099999999999999</v>
      </c>
      <c r="L88" s="100"/>
      <c r="M88" s="98"/>
      <c r="N88" s="100"/>
      <c r="O88" s="98"/>
      <c r="P88" s="100"/>
      <c r="Q88" s="98"/>
      <c r="R88" s="100"/>
      <c r="S88" s="98"/>
      <c r="T88" s="100"/>
      <c r="U88" s="98"/>
    </row>
    <row r="89" spans="2:21">
      <c r="C89" s="14" t="s">
        <v>98</v>
      </c>
      <c r="D89" s="99">
        <v>0.56499999999999995</v>
      </c>
      <c r="E89" s="98">
        <v>0.91700000000000004</v>
      </c>
      <c r="F89" s="13">
        <v>0.6</v>
      </c>
      <c r="G89" s="12">
        <v>0.91800000000000004</v>
      </c>
      <c r="H89" s="100">
        <v>0.57599999999999996</v>
      </c>
      <c r="I89" s="12">
        <v>0.90300000000000002</v>
      </c>
      <c r="J89" s="13">
        <v>0.56699999999999995</v>
      </c>
      <c r="K89" s="12">
        <v>0.90300000000000002</v>
      </c>
      <c r="L89" s="100"/>
      <c r="M89" s="98"/>
      <c r="N89" s="100"/>
      <c r="O89" s="98"/>
      <c r="P89" s="100"/>
      <c r="Q89" s="98"/>
      <c r="R89" s="100"/>
      <c r="S89" s="98"/>
      <c r="T89" s="100"/>
      <c r="U89" s="98"/>
    </row>
    <row r="90" spans="2:21">
      <c r="C90" s="14" t="s">
        <v>102</v>
      </c>
      <c r="D90" s="98">
        <v>0.90900000000000003</v>
      </c>
      <c r="E90" s="98">
        <v>0.94</v>
      </c>
      <c r="F90" s="12">
        <v>0.91</v>
      </c>
      <c r="G90" s="12">
        <v>0.93600000000000005</v>
      </c>
      <c r="H90" s="98">
        <v>0.90800000000000003</v>
      </c>
      <c r="I90" s="12">
        <v>0.95299999999999996</v>
      </c>
      <c r="J90" s="12">
        <v>0.89200000000000002</v>
      </c>
      <c r="K90" s="12">
        <v>0.94499999999999995</v>
      </c>
      <c r="L90" s="98"/>
      <c r="M90" s="98"/>
      <c r="N90" s="98"/>
      <c r="O90" s="98"/>
      <c r="P90" s="98"/>
      <c r="Q90" s="98"/>
      <c r="R90" s="98"/>
      <c r="S90" s="98"/>
      <c r="T90" s="98"/>
      <c r="U90" s="98"/>
    </row>
    <row r="91" spans="2:21">
      <c r="C91" s="14" t="s">
        <v>99</v>
      </c>
      <c r="D91" s="98">
        <v>0.80400000000000005</v>
      </c>
      <c r="E91" s="98">
        <v>0.95299999999999996</v>
      </c>
      <c r="F91" s="12">
        <v>0.79</v>
      </c>
      <c r="G91" s="12">
        <v>0.96299999999999997</v>
      </c>
      <c r="H91" s="98">
        <v>0.76100000000000001</v>
      </c>
      <c r="I91" s="12">
        <v>0.95599999999999996</v>
      </c>
      <c r="J91" s="12">
        <v>0.76300000000000001</v>
      </c>
      <c r="K91" s="12">
        <v>0.95599999999999996</v>
      </c>
      <c r="L91" s="98"/>
      <c r="M91" s="98"/>
      <c r="N91" s="98"/>
      <c r="O91" s="98"/>
      <c r="P91" s="98"/>
      <c r="Q91" s="98"/>
      <c r="R91" s="98"/>
      <c r="S91" s="98"/>
      <c r="T91" s="98"/>
      <c r="U91" s="98"/>
    </row>
    <row r="92" spans="2:21">
      <c r="C92" s="14" t="s">
        <v>189</v>
      </c>
      <c r="D92" s="99">
        <v>0.53800000000000003</v>
      </c>
      <c r="E92" s="98">
        <v>0.93500000000000005</v>
      </c>
      <c r="F92" s="13">
        <v>0.52900000000000003</v>
      </c>
      <c r="G92" s="12">
        <v>0.92700000000000005</v>
      </c>
      <c r="H92" s="100">
        <v>0.53600000000000003</v>
      </c>
      <c r="I92" s="12">
        <v>0.92600000000000005</v>
      </c>
      <c r="J92" s="13">
        <v>0.56200000000000006</v>
      </c>
      <c r="K92" s="12">
        <v>0.93</v>
      </c>
      <c r="L92" s="100"/>
      <c r="M92" s="98"/>
      <c r="N92" s="100"/>
      <c r="O92" s="98"/>
      <c r="P92" s="100"/>
      <c r="Q92" s="98"/>
      <c r="R92" s="100"/>
      <c r="S92" s="98"/>
      <c r="T92" s="100"/>
      <c r="U92" s="98"/>
    </row>
    <row r="93" spans="2:21">
      <c r="C93"/>
    </row>
    <row r="94" spans="2:21">
      <c r="F94"/>
      <c r="G94"/>
    </row>
    <row r="96" spans="2:21" ht="18.75">
      <c r="B96" s="114" t="s">
        <v>225</v>
      </c>
    </row>
    <row r="97" spans="3:28">
      <c r="D97" s="333" t="s">
        <v>131</v>
      </c>
      <c r="E97" s="333"/>
      <c r="F97" s="333" t="s">
        <v>132</v>
      </c>
      <c r="G97" s="333"/>
      <c r="H97" s="333" t="s">
        <v>133</v>
      </c>
      <c r="I97" s="333"/>
      <c r="J97" s="333" t="s">
        <v>134</v>
      </c>
      <c r="K97" s="333"/>
      <c r="L97" s="333" t="s">
        <v>135</v>
      </c>
      <c r="M97" s="333"/>
      <c r="N97" s="333" t="s">
        <v>136</v>
      </c>
      <c r="O97" s="333"/>
      <c r="P97" s="333" t="s">
        <v>137</v>
      </c>
      <c r="Q97" s="333"/>
      <c r="R97" s="333" t="s">
        <v>138</v>
      </c>
      <c r="S97" s="333"/>
      <c r="T97" s="333" t="s">
        <v>139</v>
      </c>
      <c r="U97" s="333"/>
      <c r="Z97" s="336" t="s">
        <v>127</v>
      </c>
      <c r="AA97" s="334" t="s">
        <v>226</v>
      </c>
      <c r="AB97" s="334" t="s">
        <v>227</v>
      </c>
    </row>
    <row r="98" spans="3:28">
      <c r="C98" s="9">
        <v>1</v>
      </c>
      <c r="D98" s="9">
        <v>2</v>
      </c>
      <c r="E98" s="9">
        <v>3</v>
      </c>
      <c r="F98" s="9">
        <v>4</v>
      </c>
      <c r="G98" s="9">
        <v>5</v>
      </c>
      <c r="H98" s="9">
        <v>6</v>
      </c>
      <c r="I98" s="9">
        <v>7</v>
      </c>
      <c r="J98" s="9">
        <v>8</v>
      </c>
      <c r="K98" s="9">
        <v>9</v>
      </c>
      <c r="L98" s="9">
        <v>10</v>
      </c>
      <c r="M98" s="9">
        <v>11</v>
      </c>
      <c r="N98" s="9">
        <v>12</v>
      </c>
      <c r="O98" s="9">
        <v>13</v>
      </c>
      <c r="P98" s="9">
        <v>14</v>
      </c>
      <c r="Q98" s="9">
        <v>15</v>
      </c>
      <c r="R98" s="9">
        <v>16</v>
      </c>
      <c r="S98" s="9">
        <v>17</v>
      </c>
      <c r="T98" s="9">
        <v>18</v>
      </c>
      <c r="U98" s="9">
        <v>19</v>
      </c>
      <c r="Z98" s="337"/>
      <c r="AA98" s="335"/>
      <c r="AB98" s="335"/>
    </row>
    <row r="99" spans="3:28">
      <c r="C99" s="336" t="s">
        <v>127</v>
      </c>
      <c r="D99" s="334" t="s">
        <v>228</v>
      </c>
      <c r="E99" s="334" t="s">
        <v>229</v>
      </c>
      <c r="F99" s="336" t="s">
        <v>230</v>
      </c>
      <c r="G99" s="334" t="s">
        <v>231</v>
      </c>
      <c r="H99" s="336" t="s">
        <v>230</v>
      </c>
      <c r="I99" s="334" t="s">
        <v>231</v>
      </c>
      <c r="J99" s="336" t="s">
        <v>230</v>
      </c>
      <c r="K99" s="334" t="s">
        <v>231</v>
      </c>
      <c r="Z99" s="5" t="s">
        <v>83</v>
      </c>
      <c r="AA99" s="7">
        <v>62740</v>
      </c>
      <c r="AB99" s="7">
        <v>60336</v>
      </c>
    </row>
    <row r="100" spans="3:28">
      <c r="C100" s="337"/>
      <c r="D100" s="335"/>
      <c r="E100" s="335"/>
      <c r="F100" s="337"/>
      <c r="G100" s="335"/>
      <c r="H100" s="337"/>
      <c r="I100" s="335"/>
      <c r="J100" s="337"/>
      <c r="K100" s="335"/>
      <c r="Z100" s="6" t="s">
        <v>103</v>
      </c>
      <c r="AA100" s="7">
        <v>6529</v>
      </c>
      <c r="AB100" s="7">
        <v>8112</v>
      </c>
    </row>
    <row r="101" spans="3:28">
      <c r="C101" s="5" t="s">
        <v>83</v>
      </c>
      <c r="D101" s="7">
        <v>4975969</v>
      </c>
      <c r="E101" s="8">
        <v>1.05</v>
      </c>
      <c r="F101" s="7">
        <v>6737647</v>
      </c>
      <c r="G101" s="8">
        <v>1.04</v>
      </c>
      <c r="H101" s="7">
        <v>8869275</v>
      </c>
      <c r="I101" s="8">
        <v>1.04</v>
      </c>
      <c r="J101" s="7">
        <v>11072189</v>
      </c>
      <c r="K101" s="8">
        <v>1.04</v>
      </c>
      <c r="Z101" s="6" t="s">
        <v>92</v>
      </c>
      <c r="AA101" s="7">
        <v>12072</v>
      </c>
      <c r="AB101" s="7">
        <v>11590</v>
      </c>
    </row>
    <row r="102" spans="3:28">
      <c r="C102" s="6" t="s">
        <v>103</v>
      </c>
      <c r="D102" s="7">
        <v>624524</v>
      </c>
      <c r="E102" s="8">
        <v>0.81</v>
      </c>
      <c r="F102" s="7">
        <v>756854</v>
      </c>
      <c r="G102" s="8">
        <v>0.8</v>
      </c>
      <c r="H102" s="7">
        <v>758681</v>
      </c>
      <c r="I102" s="8">
        <v>0.81</v>
      </c>
      <c r="J102" s="7">
        <v>862181</v>
      </c>
      <c r="K102" s="8">
        <v>0.81</v>
      </c>
      <c r="Z102" s="6" t="s">
        <v>102</v>
      </c>
      <c r="AA102" s="7">
        <v>9413</v>
      </c>
      <c r="AB102" s="7">
        <v>6025</v>
      </c>
    </row>
    <row r="103" spans="3:28">
      <c r="C103" s="6" t="s">
        <v>92</v>
      </c>
      <c r="D103" s="7">
        <v>1250021</v>
      </c>
      <c r="E103" s="8">
        <v>1.05</v>
      </c>
      <c r="F103" s="7">
        <v>1548634</v>
      </c>
      <c r="G103" s="8">
        <v>1.04</v>
      </c>
      <c r="H103" s="7">
        <v>1964033</v>
      </c>
      <c r="I103" s="8">
        <v>1.04</v>
      </c>
      <c r="J103" s="7">
        <v>2441588</v>
      </c>
      <c r="K103" s="8">
        <v>1.04</v>
      </c>
      <c r="Z103" s="6" t="s">
        <v>94</v>
      </c>
      <c r="AA103" s="7">
        <v>8181</v>
      </c>
      <c r="AB103" s="7">
        <v>9680</v>
      </c>
    </row>
    <row r="104" spans="3:28">
      <c r="C104" s="6" t="s">
        <v>102</v>
      </c>
      <c r="D104" s="7">
        <v>1122863</v>
      </c>
      <c r="E104" s="8">
        <v>1.1399999999999999</v>
      </c>
      <c r="F104" s="7">
        <v>1410976</v>
      </c>
      <c r="G104" s="8">
        <v>1.56</v>
      </c>
      <c r="H104" s="7">
        <v>1776487</v>
      </c>
      <c r="I104" s="8">
        <v>1.56</v>
      </c>
      <c r="J104" s="7">
        <v>2167868</v>
      </c>
      <c r="K104" s="8">
        <v>1.56</v>
      </c>
      <c r="Z104" s="6" t="s">
        <v>175</v>
      </c>
      <c r="AA104" s="8">
        <v>677</v>
      </c>
      <c r="AB104" s="8">
        <v>428</v>
      </c>
    </row>
    <row r="105" spans="3:28">
      <c r="C105" s="6" t="s">
        <v>94</v>
      </c>
      <c r="D105" s="7">
        <v>894183</v>
      </c>
      <c r="E105" s="8">
        <v>0.84</v>
      </c>
      <c r="F105" s="7">
        <v>1143779</v>
      </c>
      <c r="G105" s="8">
        <v>0.85</v>
      </c>
      <c r="H105" s="7">
        <v>1422188</v>
      </c>
      <c r="I105" s="8">
        <v>0.85</v>
      </c>
      <c r="J105" s="7">
        <v>1638459</v>
      </c>
      <c r="K105" s="8">
        <v>0.85</v>
      </c>
      <c r="Z105" s="6" t="s">
        <v>176</v>
      </c>
      <c r="AA105" s="8">
        <v>959</v>
      </c>
      <c r="AB105" s="8">
        <v>605</v>
      </c>
    </row>
    <row r="106" spans="3:28">
      <c r="C106" s="6" t="s">
        <v>175</v>
      </c>
      <c r="D106" s="8"/>
      <c r="E106" s="8">
        <v>1.66</v>
      </c>
      <c r="F106" s="8"/>
      <c r="G106" s="8">
        <v>1.58</v>
      </c>
      <c r="H106" s="8"/>
      <c r="I106" s="8">
        <v>1.32</v>
      </c>
      <c r="J106" s="8"/>
      <c r="K106" s="8">
        <v>1.32</v>
      </c>
      <c r="Z106" s="6" t="s">
        <v>177</v>
      </c>
      <c r="AA106" s="8"/>
      <c r="AB106" s="8">
        <v>59</v>
      </c>
    </row>
    <row r="107" spans="3:28">
      <c r="C107" s="6" t="s">
        <v>176</v>
      </c>
      <c r="D107" s="8">
        <v>540</v>
      </c>
      <c r="E107" s="8">
        <v>1.7</v>
      </c>
      <c r="F107" s="8">
        <v>831</v>
      </c>
      <c r="G107" s="8">
        <v>1.58</v>
      </c>
      <c r="H107" s="8">
        <v>831</v>
      </c>
      <c r="I107" s="8">
        <v>1.32</v>
      </c>
      <c r="J107" s="8">
        <v>831</v>
      </c>
      <c r="K107" s="8">
        <v>1.32</v>
      </c>
      <c r="Z107" s="6" t="s">
        <v>178</v>
      </c>
      <c r="AA107" s="8">
        <v>134</v>
      </c>
      <c r="AB107" s="8">
        <v>423</v>
      </c>
    </row>
    <row r="108" spans="3:28">
      <c r="C108" s="6" t="s">
        <v>177</v>
      </c>
      <c r="D108" s="8"/>
      <c r="E108" s="8" t="s">
        <v>232</v>
      </c>
      <c r="F108" s="8"/>
      <c r="G108" s="8" t="s">
        <v>232</v>
      </c>
      <c r="H108" s="8"/>
      <c r="I108" s="8" t="s">
        <v>232</v>
      </c>
      <c r="J108" s="8"/>
      <c r="K108" s="8" t="s">
        <v>232</v>
      </c>
      <c r="Z108" s="6" t="s">
        <v>179</v>
      </c>
      <c r="AA108" s="8"/>
      <c r="AB108" s="8">
        <v>183</v>
      </c>
    </row>
    <row r="109" spans="3:28">
      <c r="C109" s="6" t="s">
        <v>178</v>
      </c>
      <c r="D109" s="8"/>
      <c r="E109" s="8">
        <v>0.4</v>
      </c>
      <c r="F109" s="8"/>
      <c r="G109" s="8">
        <v>0.32</v>
      </c>
      <c r="H109" s="8"/>
      <c r="I109" s="8">
        <v>0.26</v>
      </c>
      <c r="J109" s="8"/>
      <c r="K109" s="8">
        <v>0.26</v>
      </c>
      <c r="Z109" s="6" t="s">
        <v>181</v>
      </c>
      <c r="AA109" s="8">
        <v>549</v>
      </c>
      <c r="AB109" s="8">
        <v>190</v>
      </c>
    </row>
    <row r="110" spans="3:28">
      <c r="C110" s="6" t="s">
        <v>179</v>
      </c>
      <c r="D110" s="8"/>
      <c r="E110" s="8" t="s">
        <v>232</v>
      </c>
      <c r="F110" s="8"/>
      <c r="G110" s="8" t="s">
        <v>232</v>
      </c>
      <c r="H110" s="8"/>
      <c r="I110" s="8" t="s">
        <v>232</v>
      </c>
      <c r="J110" s="8"/>
      <c r="K110" s="8" t="s">
        <v>232</v>
      </c>
      <c r="Z110" s="6" t="s">
        <v>182</v>
      </c>
      <c r="AA110" s="8">
        <v>83</v>
      </c>
      <c r="AB110" s="8">
        <v>367</v>
      </c>
    </row>
    <row r="111" spans="3:28">
      <c r="C111" s="6" t="s">
        <v>181</v>
      </c>
      <c r="D111" s="8"/>
      <c r="E111" s="8">
        <v>2.99</v>
      </c>
      <c r="F111" s="8"/>
      <c r="G111" s="8">
        <v>2.88</v>
      </c>
      <c r="H111" s="8"/>
      <c r="I111" s="8">
        <v>2.4</v>
      </c>
      <c r="J111" s="8"/>
      <c r="K111" s="8">
        <v>2.4</v>
      </c>
      <c r="Z111" s="6" t="s">
        <v>183</v>
      </c>
      <c r="AA111" s="7">
        <v>2745</v>
      </c>
      <c r="AB111" s="7">
        <v>1117</v>
      </c>
    </row>
    <row r="112" spans="3:28">
      <c r="C112" s="6" t="s">
        <v>182</v>
      </c>
      <c r="D112" s="8"/>
      <c r="E112" s="8">
        <v>0.28000000000000003</v>
      </c>
      <c r="F112" s="8"/>
      <c r="G112" s="8">
        <v>0.23</v>
      </c>
      <c r="H112" s="8"/>
      <c r="I112" s="8">
        <v>0.19</v>
      </c>
      <c r="J112" s="8"/>
      <c r="K112" s="8">
        <v>0.19</v>
      </c>
      <c r="Z112" s="6" t="s">
        <v>184</v>
      </c>
      <c r="AA112" s="8"/>
      <c r="AB112" s="8">
        <v>294</v>
      </c>
    </row>
    <row r="113" spans="3:28">
      <c r="C113" s="6" t="s">
        <v>183</v>
      </c>
      <c r="D113" s="8">
        <v>954</v>
      </c>
      <c r="E113" s="8">
        <v>2.5</v>
      </c>
      <c r="F113" s="8">
        <v>954</v>
      </c>
      <c r="G113" s="8">
        <v>2.46</v>
      </c>
      <c r="H113" s="7">
        <v>2260</v>
      </c>
      <c r="I113" s="8">
        <v>2.0499999999999998</v>
      </c>
      <c r="J113" s="7">
        <v>23378</v>
      </c>
      <c r="K113" s="8">
        <v>2.0499999999999998</v>
      </c>
      <c r="Z113" s="6" t="s">
        <v>185</v>
      </c>
      <c r="AA113" s="8">
        <v>132</v>
      </c>
      <c r="AB113" s="8">
        <v>153</v>
      </c>
    </row>
    <row r="114" spans="3:28">
      <c r="C114" s="6" t="s">
        <v>184</v>
      </c>
      <c r="D114" s="8"/>
      <c r="E114" s="8" t="s">
        <v>232</v>
      </c>
      <c r="F114" s="8"/>
      <c r="G114" s="8" t="s">
        <v>232</v>
      </c>
      <c r="H114" s="8"/>
      <c r="I114" s="8" t="s">
        <v>232</v>
      </c>
      <c r="J114" s="8"/>
      <c r="K114" s="8" t="s">
        <v>232</v>
      </c>
      <c r="Z114" s="6" t="s">
        <v>186</v>
      </c>
      <c r="AA114" s="8">
        <v>637</v>
      </c>
      <c r="AB114" s="8">
        <v>234</v>
      </c>
    </row>
    <row r="115" spans="3:28">
      <c r="C115" s="6" t="s">
        <v>185</v>
      </c>
      <c r="D115" s="8"/>
      <c r="E115" s="8">
        <v>0.82</v>
      </c>
      <c r="F115" s="8"/>
      <c r="G115" s="8">
        <v>0.86</v>
      </c>
      <c r="H115" s="8"/>
      <c r="I115" s="8">
        <v>0.72</v>
      </c>
      <c r="J115" s="8"/>
      <c r="K115" s="8">
        <v>0.72</v>
      </c>
      <c r="Z115" s="6" t="s">
        <v>188</v>
      </c>
      <c r="AA115" s="8"/>
      <c r="AB115" s="8">
        <v>92</v>
      </c>
    </row>
    <row r="116" spans="3:28">
      <c r="C116" s="6" t="s">
        <v>186</v>
      </c>
      <c r="D116" s="7">
        <v>30934</v>
      </c>
      <c r="E116" s="8">
        <v>2.73</v>
      </c>
      <c r="F116" s="7">
        <v>30934</v>
      </c>
      <c r="G116" s="8">
        <v>2.72</v>
      </c>
      <c r="H116" s="7">
        <v>30934</v>
      </c>
      <c r="I116" s="8">
        <v>2.27</v>
      </c>
      <c r="J116" s="7">
        <v>30934</v>
      </c>
      <c r="K116" s="8">
        <v>2.27</v>
      </c>
      <c r="Z116" s="6" t="s">
        <v>28</v>
      </c>
      <c r="AA116" s="7">
        <v>5519</v>
      </c>
      <c r="AB116" s="7">
        <v>5240</v>
      </c>
    </row>
    <row r="117" spans="3:28">
      <c r="C117" s="6" t="s">
        <v>188</v>
      </c>
      <c r="D117" s="8"/>
      <c r="E117" s="8" t="s">
        <v>232</v>
      </c>
      <c r="F117" s="8"/>
      <c r="G117" s="8" t="s">
        <v>232</v>
      </c>
      <c r="H117" s="8"/>
      <c r="I117" s="8" t="s">
        <v>232</v>
      </c>
      <c r="J117" s="8"/>
      <c r="K117" s="8" t="s">
        <v>232</v>
      </c>
      <c r="Z117" s="6" t="s">
        <v>0</v>
      </c>
      <c r="AA117" s="7">
        <v>13321</v>
      </c>
      <c r="AB117" s="7">
        <v>17220</v>
      </c>
    </row>
    <row r="118" spans="3:28">
      <c r="C118" s="6" t="s">
        <v>28</v>
      </c>
      <c r="D118" s="7">
        <v>108093</v>
      </c>
      <c r="E118" s="8">
        <v>1.06</v>
      </c>
      <c r="F118" s="7">
        <v>126970</v>
      </c>
      <c r="G118" s="8">
        <v>1.05</v>
      </c>
      <c r="H118" s="7">
        <v>155745</v>
      </c>
      <c r="I118" s="8">
        <v>0.88</v>
      </c>
      <c r="J118" s="7">
        <v>219059</v>
      </c>
      <c r="K118" s="8">
        <v>0.88</v>
      </c>
      <c r="Z118" s="5" t="s">
        <v>100</v>
      </c>
      <c r="AA118" s="7">
        <v>8991</v>
      </c>
      <c r="AB118" s="7">
        <v>6541</v>
      </c>
    </row>
    <row r="119" spans="3:28">
      <c r="C119" s="6" t="s">
        <v>0</v>
      </c>
      <c r="D119" s="7">
        <v>1097794</v>
      </c>
      <c r="E119" s="8">
        <v>0.8</v>
      </c>
      <c r="F119" s="7">
        <v>1426757</v>
      </c>
      <c r="G119" s="8">
        <v>0.77</v>
      </c>
      <c r="H119" s="7">
        <v>1906159</v>
      </c>
      <c r="I119" s="8">
        <v>0.76</v>
      </c>
      <c r="J119" s="7">
        <v>2215566</v>
      </c>
      <c r="K119" s="8">
        <v>0.76</v>
      </c>
      <c r="Z119" s="5" t="s">
        <v>96</v>
      </c>
      <c r="AA119" s="7">
        <v>6280</v>
      </c>
      <c r="AB119" s="7">
        <v>6739</v>
      </c>
    </row>
    <row r="120" spans="3:28">
      <c r="C120" s="5" t="s">
        <v>100</v>
      </c>
      <c r="D120" s="7">
        <v>1055311</v>
      </c>
      <c r="E120" s="8">
        <v>1.37</v>
      </c>
      <c r="F120" s="7">
        <v>1306799</v>
      </c>
      <c r="G120" s="8">
        <v>1.37</v>
      </c>
      <c r="H120" s="7">
        <v>1485363</v>
      </c>
      <c r="I120" s="8">
        <v>1.37</v>
      </c>
      <c r="J120" s="7">
        <v>1705808</v>
      </c>
      <c r="K120" s="8">
        <v>1.37</v>
      </c>
      <c r="Z120" s="5" t="s">
        <v>97</v>
      </c>
      <c r="AA120" s="7">
        <v>8869</v>
      </c>
      <c r="AB120" s="7">
        <v>7418</v>
      </c>
    </row>
    <row r="121" spans="3:28">
      <c r="C121" s="5" t="s">
        <v>96</v>
      </c>
      <c r="D121" s="7">
        <v>736938</v>
      </c>
      <c r="E121" s="8">
        <v>0.93</v>
      </c>
      <c r="F121" s="7">
        <v>1000559</v>
      </c>
      <c r="G121" s="8">
        <v>0.93</v>
      </c>
      <c r="H121" s="7">
        <v>1282059</v>
      </c>
      <c r="I121" s="8">
        <v>0.94</v>
      </c>
      <c r="J121" s="7">
        <v>1482874</v>
      </c>
      <c r="K121" s="8">
        <v>0.94</v>
      </c>
      <c r="Z121" s="5" t="s">
        <v>98</v>
      </c>
      <c r="AA121" s="7">
        <v>3131</v>
      </c>
      <c r="AB121" s="7">
        <v>3016</v>
      </c>
    </row>
    <row r="122" spans="3:28">
      <c r="C122" s="5" t="s">
        <v>97</v>
      </c>
      <c r="D122" s="7">
        <v>927163</v>
      </c>
      <c r="E122" s="8">
        <v>1.19</v>
      </c>
      <c r="F122" s="7">
        <v>1184707</v>
      </c>
      <c r="G122" s="8">
        <v>1.2</v>
      </c>
      <c r="H122" s="7">
        <v>1459589</v>
      </c>
      <c r="I122" s="8">
        <v>1.19</v>
      </c>
      <c r="J122" s="7">
        <v>1604426</v>
      </c>
      <c r="K122" s="8">
        <v>1.19</v>
      </c>
      <c r="Z122" s="6" t="s">
        <v>110</v>
      </c>
      <c r="AA122" s="8" t="s">
        <v>232</v>
      </c>
      <c r="AB122" s="8">
        <v>793</v>
      </c>
    </row>
    <row r="123" spans="3:28">
      <c r="C123" s="5" t="s">
        <v>98</v>
      </c>
      <c r="D123" s="7">
        <v>329937</v>
      </c>
      <c r="E123" s="8">
        <v>1.03</v>
      </c>
      <c r="F123" s="7">
        <v>424289</v>
      </c>
      <c r="G123" s="8">
        <v>1.04</v>
      </c>
      <c r="H123" s="7">
        <v>529226</v>
      </c>
      <c r="I123" s="8">
        <v>1.08</v>
      </c>
      <c r="J123" s="7">
        <v>579421</v>
      </c>
      <c r="K123" s="8">
        <v>1.08</v>
      </c>
      <c r="Z123" s="6" t="s">
        <v>111</v>
      </c>
      <c r="AA123" s="8" t="s">
        <v>232</v>
      </c>
      <c r="AB123" s="8">
        <v>190</v>
      </c>
    </row>
    <row r="124" spans="3:28">
      <c r="C124" s="6" t="s">
        <v>110</v>
      </c>
      <c r="D124" s="7">
        <v>93056</v>
      </c>
      <c r="E124" s="8" t="s">
        <v>232</v>
      </c>
      <c r="F124" s="7">
        <v>118599</v>
      </c>
      <c r="G124" s="8" t="s">
        <v>232</v>
      </c>
      <c r="H124" s="7">
        <v>139885</v>
      </c>
      <c r="I124" s="8" t="s">
        <v>232</v>
      </c>
      <c r="J124" s="7">
        <v>168353</v>
      </c>
      <c r="K124" s="8" t="s">
        <v>232</v>
      </c>
      <c r="Z124" s="6" t="s">
        <v>112</v>
      </c>
      <c r="AA124" s="8" t="s">
        <v>232</v>
      </c>
      <c r="AB124" s="8">
        <v>934</v>
      </c>
    </row>
    <row r="125" spans="3:28">
      <c r="C125" s="6" t="s">
        <v>111</v>
      </c>
      <c r="D125" s="7">
        <v>40836</v>
      </c>
      <c r="E125" s="8" t="s">
        <v>232</v>
      </c>
      <c r="F125" s="7">
        <v>40836</v>
      </c>
      <c r="G125" s="8" t="s">
        <v>232</v>
      </c>
      <c r="H125" s="7">
        <v>42961</v>
      </c>
      <c r="I125" s="8" t="s">
        <v>232</v>
      </c>
      <c r="J125" s="7">
        <v>53204</v>
      </c>
      <c r="K125" s="8" t="s">
        <v>232</v>
      </c>
      <c r="Z125" s="6" t="s">
        <v>99</v>
      </c>
      <c r="AA125" s="7">
        <v>11051</v>
      </c>
      <c r="AB125" s="7">
        <v>7700</v>
      </c>
    </row>
    <row r="126" spans="3:28">
      <c r="C126" s="6" t="s">
        <v>112</v>
      </c>
      <c r="D126" s="7">
        <v>97601</v>
      </c>
      <c r="E126" s="8" t="s">
        <v>232</v>
      </c>
      <c r="F126" s="7">
        <v>159976</v>
      </c>
      <c r="G126" s="8" t="s">
        <v>232</v>
      </c>
      <c r="H126" s="7">
        <v>169246</v>
      </c>
      <c r="I126" s="8" t="s">
        <v>232</v>
      </c>
      <c r="J126" s="7">
        <v>177187</v>
      </c>
      <c r="K126" s="8" t="s">
        <v>232</v>
      </c>
      <c r="Z126" s="6" t="s">
        <v>109</v>
      </c>
      <c r="AA126" s="8" t="s">
        <v>232</v>
      </c>
      <c r="AB126" s="7">
        <v>1286</v>
      </c>
    </row>
    <row r="127" spans="3:28">
      <c r="C127" s="6" t="s">
        <v>99</v>
      </c>
      <c r="D127" s="7">
        <v>1120886</v>
      </c>
      <c r="E127" s="8">
        <v>1.43</v>
      </c>
      <c r="F127" s="7">
        <v>1446325</v>
      </c>
      <c r="G127" s="8">
        <v>1.44</v>
      </c>
      <c r="H127" s="7">
        <v>1633082</v>
      </c>
      <c r="I127" s="8">
        <v>1.44</v>
      </c>
      <c r="J127" s="7">
        <v>1760989</v>
      </c>
      <c r="K127" s="8">
        <v>1.44</v>
      </c>
      <c r="Z127" s="6" t="s">
        <v>89</v>
      </c>
      <c r="AA127" s="7">
        <v>29589</v>
      </c>
      <c r="AB127" s="7">
        <v>34573</v>
      </c>
    </row>
    <row r="128" spans="3:28">
      <c r="C128" s="6" t="s">
        <v>109</v>
      </c>
      <c r="D128" s="7">
        <v>126221</v>
      </c>
      <c r="E128" s="8" t="s">
        <v>232</v>
      </c>
      <c r="F128" s="7">
        <v>183394</v>
      </c>
      <c r="G128" s="8" t="s">
        <v>232</v>
      </c>
      <c r="H128" s="7">
        <v>224881</v>
      </c>
      <c r="I128" s="8" t="s">
        <v>232</v>
      </c>
      <c r="J128" s="7">
        <v>290483</v>
      </c>
      <c r="K128" s="8" t="s">
        <v>232</v>
      </c>
      <c r="Z128" s="6" t="s">
        <v>91</v>
      </c>
      <c r="AA128" s="7">
        <v>23738</v>
      </c>
      <c r="AB128" s="7">
        <v>17801</v>
      </c>
    </row>
    <row r="129" spans="2:29">
      <c r="C129" s="6" t="s">
        <v>89</v>
      </c>
      <c r="D129" s="7">
        <v>816571</v>
      </c>
      <c r="E129" s="8">
        <v>0.86</v>
      </c>
      <c r="F129" s="7">
        <v>975247</v>
      </c>
      <c r="G129" s="8">
        <v>0.86</v>
      </c>
      <c r="H129" s="7">
        <v>1149097</v>
      </c>
      <c r="I129" s="8">
        <v>0.86</v>
      </c>
      <c r="J129" s="7">
        <v>1360596</v>
      </c>
      <c r="K129" s="8">
        <v>0.86</v>
      </c>
    </row>
    <row r="130" spans="2:29">
      <c r="C130" s="6" t="s">
        <v>91</v>
      </c>
      <c r="D130" s="7">
        <v>2416855</v>
      </c>
      <c r="E130" s="8">
        <v>1.32</v>
      </c>
      <c r="F130" s="7">
        <v>3008469</v>
      </c>
      <c r="G130" s="8">
        <v>1.33</v>
      </c>
      <c r="H130" s="7">
        <v>3561321</v>
      </c>
      <c r="I130" s="8">
        <v>1.33</v>
      </c>
      <c r="J130" s="7">
        <v>4097809</v>
      </c>
      <c r="K130" s="8">
        <v>1.33</v>
      </c>
      <c r="Z130" s="9" t="s">
        <v>105</v>
      </c>
      <c r="AA130" s="233">
        <f>AA104+AA106+AA107+AA108+AA109+AA110+AA112+AA113+AA116</f>
        <v>7094</v>
      </c>
      <c r="AB130" s="233">
        <f>AB104+AB106+AB107+AB108+AB109+AB110+AB112+AB113+AB116</f>
        <v>7337</v>
      </c>
      <c r="AC130" s="234">
        <f>AA130/AB130</f>
        <v>0.96688019626550359</v>
      </c>
    </row>
    <row r="131" spans="2:29">
      <c r="C131" s="6" t="s">
        <v>189</v>
      </c>
      <c r="D131" s="7">
        <f>D106+D108+D109+D110+D111+D112+D114+D115+D118</f>
        <v>108093</v>
      </c>
      <c r="E131" s="186">
        <v>0.98193900153348102</v>
      </c>
      <c r="F131" s="7">
        <f>F106+F108+F109+F110+F111+F112+F114+F115+F118</f>
        <v>126970</v>
      </c>
      <c r="G131" s="235">
        <v>0.96688019626550359</v>
      </c>
      <c r="H131" s="7">
        <f>H106+H108+H109+H110+H111+H112+H114+H115+H118</f>
        <v>155745</v>
      </c>
      <c r="I131" s="235">
        <v>0.80558709970474673</v>
      </c>
      <c r="J131" s="7">
        <f>J106+J108+J109+J110+J111+J112+J114+J115+J118</f>
        <v>219059</v>
      </c>
      <c r="Z131" s="9" t="s">
        <v>106</v>
      </c>
      <c r="AA131" s="233">
        <f>AA115+AA114+AA111+AA105</f>
        <v>4341</v>
      </c>
      <c r="AB131" s="233">
        <f>AB115+AB114+AB111+AB105</f>
        <v>2048</v>
      </c>
      <c r="AC131" s="234">
        <f>AA131/AB131</f>
        <v>2.11962890625</v>
      </c>
    </row>
    <row r="132" spans="2:29">
      <c r="C132" s="6" t="s">
        <v>106</v>
      </c>
      <c r="D132" s="7">
        <f>D107+D116+D117+D113</f>
        <v>32428</v>
      </c>
      <c r="E132" s="186">
        <v>2.1794871794871793</v>
      </c>
      <c r="F132" s="7">
        <f>F107+F116+F117+F113</f>
        <v>32719</v>
      </c>
      <c r="G132" s="235">
        <v>2.11962890625</v>
      </c>
      <c r="H132" s="7">
        <f>H107+H116+H117+H113</f>
        <v>34025</v>
      </c>
      <c r="I132" s="235">
        <v>1.7667887667887667</v>
      </c>
      <c r="J132" s="7">
        <f>J107+J116+J117+J113</f>
        <v>55143</v>
      </c>
    </row>
    <row r="134" spans="2:29" ht="18.75">
      <c r="B134" s="114" t="s">
        <v>233</v>
      </c>
    </row>
    <row r="135" spans="2:29">
      <c r="D135" s="333" t="s">
        <v>128</v>
      </c>
      <c r="E135" s="333"/>
      <c r="F135" s="333" t="s">
        <v>129</v>
      </c>
      <c r="G135" s="333"/>
      <c r="H135" s="333" t="s">
        <v>130</v>
      </c>
      <c r="I135" s="333"/>
      <c r="J135" s="333" t="s">
        <v>131</v>
      </c>
      <c r="K135" s="333"/>
      <c r="L135" s="333" t="s">
        <v>132</v>
      </c>
      <c r="M135" s="333"/>
      <c r="N135" s="333" t="s">
        <v>133</v>
      </c>
      <c r="O135" s="333"/>
      <c r="P135" s="333" t="s">
        <v>134</v>
      </c>
      <c r="Q135" s="333"/>
      <c r="R135" s="333" t="s">
        <v>135</v>
      </c>
      <c r="S135" s="333"/>
      <c r="T135" s="333" t="s">
        <v>136</v>
      </c>
      <c r="U135" s="333"/>
      <c r="V135" s="333" t="s">
        <v>137</v>
      </c>
      <c r="W135" s="333"/>
      <c r="X135" s="333" t="s">
        <v>138</v>
      </c>
      <c r="Y135" s="333"/>
      <c r="Z135" s="333" t="s">
        <v>139</v>
      </c>
      <c r="AA135" s="333"/>
    </row>
    <row r="136" spans="2:29" ht="15.75" thickBot="1">
      <c r="C136" s="9">
        <v>1</v>
      </c>
      <c r="D136" s="9">
        <v>2</v>
      </c>
      <c r="E136" s="9">
        <v>3</v>
      </c>
      <c r="F136" s="9">
        <v>4</v>
      </c>
      <c r="G136" s="9">
        <v>5</v>
      </c>
      <c r="H136" s="9">
        <v>6</v>
      </c>
      <c r="I136" s="9">
        <v>7</v>
      </c>
      <c r="J136" s="9">
        <v>8</v>
      </c>
      <c r="K136" s="9">
        <v>9</v>
      </c>
      <c r="L136" s="9">
        <v>10</v>
      </c>
      <c r="M136" s="9">
        <v>11</v>
      </c>
      <c r="N136" s="9">
        <v>12</v>
      </c>
      <c r="O136" s="9">
        <v>13</v>
      </c>
      <c r="P136" s="9">
        <v>14</v>
      </c>
      <c r="Q136" s="9">
        <v>15</v>
      </c>
      <c r="R136" s="9">
        <v>16</v>
      </c>
      <c r="S136" s="9">
        <v>17</v>
      </c>
      <c r="T136" s="9">
        <v>18</v>
      </c>
      <c r="U136" s="9">
        <v>19</v>
      </c>
      <c r="V136" s="9">
        <v>20</v>
      </c>
      <c r="W136" s="9">
        <v>21</v>
      </c>
      <c r="X136" s="9">
        <v>22</v>
      </c>
      <c r="Y136" s="9">
        <v>23</v>
      </c>
      <c r="Z136" s="9">
        <v>24</v>
      </c>
      <c r="AA136" s="9">
        <v>25</v>
      </c>
    </row>
    <row r="137" spans="2:29">
      <c r="D137" s="200" t="s">
        <v>1</v>
      </c>
      <c r="E137" s="201" t="s">
        <v>2</v>
      </c>
      <c r="F137" s="200" t="s">
        <v>1</v>
      </c>
      <c r="G137" s="201" t="s">
        <v>2</v>
      </c>
      <c r="H137" s="200" t="s">
        <v>1</v>
      </c>
      <c r="I137" s="201" t="s">
        <v>2</v>
      </c>
      <c r="J137" s="200" t="s">
        <v>1</v>
      </c>
      <c r="K137" s="201" t="s">
        <v>2</v>
      </c>
      <c r="L137" s="200" t="s">
        <v>1</v>
      </c>
      <c r="M137" s="201" t="s">
        <v>2</v>
      </c>
      <c r="N137" s="198" t="s">
        <v>1</v>
      </c>
      <c r="O137" s="82" t="s">
        <v>2</v>
      </c>
      <c r="P137" s="82" t="s">
        <v>1</v>
      </c>
      <c r="Q137" s="82" t="s">
        <v>2</v>
      </c>
      <c r="R137" s="82" t="s">
        <v>1</v>
      </c>
      <c r="S137" s="82" t="s">
        <v>2</v>
      </c>
      <c r="T137" s="82" t="s">
        <v>1</v>
      </c>
      <c r="U137" s="82" t="s">
        <v>2</v>
      </c>
      <c r="V137" s="82" t="s">
        <v>1</v>
      </c>
      <c r="W137" s="82" t="s">
        <v>2</v>
      </c>
      <c r="X137" s="82" t="s">
        <v>1</v>
      </c>
      <c r="Y137" s="82" t="s">
        <v>2</v>
      </c>
      <c r="Z137" s="82" t="s">
        <v>1</v>
      </c>
      <c r="AA137" s="82" t="s">
        <v>2</v>
      </c>
    </row>
    <row r="138" spans="2:29">
      <c r="C138" s="196" t="s">
        <v>92</v>
      </c>
      <c r="D138" s="202">
        <v>0.22648736756316221</v>
      </c>
      <c r="E138" s="203">
        <v>0.24889975550122248</v>
      </c>
      <c r="F138" s="202">
        <v>0.25590872045639773</v>
      </c>
      <c r="G138" s="203">
        <v>0.3310513447432763</v>
      </c>
      <c r="H138" s="202">
        <v>0.28533007334963323</v>
      </c>
      <c r="I138" s="203">
        <v>0.44254278728606355</v>
      </c>
      <c r="J138" s="202">
        <v>0.31475142624286878</v>
      </c>
      <c r="K138" s="203">
        <v>0.58826405867970655</v>
      </c>
      <c r="L138" s="202">
        <v>0.34417277913610428</v>
      </c>
      <c r="M138" s="102">
        <v>0.62640586797066011</v>
      </c>
      <c r="N138" s="199">
        <v>0.37359413202933978</v>
      </c>
      <c r="O138" s="102">
        <f>VLOOKUP(C138,'[1]OR SEP'!$W$4:$Z$21,'[1]OR SEP'!$Y$3,FALSE)</f>
        <v>0.65721271393643033</v>
      </c>
      <c r="P138" s="89">
        <v>0.40301548492257533</v>
      </c>
      <c r="Q138" s="102">
        <v>0.68019559902200488</v>
      </c>
      <c r="R138" s="89">
        <v>0.43243683781581083</v>
      </c>
      <c r="S138" s="80"/>
      <c r="T138" s="89">
        <v>0.46185819070904632</v>
      </c>
      <c r="U138" s="80"/>
      <c r="V138" s="89">
        <v>0.49127954360228188</v>
      </c>
      <c r="W138" s="80"/>
      <c r="X138" s="89">
        <v>0.52070089649551743</v>
      </c>
      <c r="Y138" s="80"/>
      <c r="Z138" s="89">
        <v>0.55012224938875298</v>
      </c>
      <c r="AA138" s="78"/>
    </row>
    <row r="139" spans="2:29">
      <c r="C139" s="197" t="s">
        <v>91</v>
      </c>
      <c r="D139" s="202">
        <v>0.26809076562818163</v>
      </c>
      <c r="E139" s="102">
        <v>0.28313989004276113</v>
      </c>
      <c r="F139" s="202">
        <v>0.29488647933211154</v>
      </c>
      <c r="G139" s="102">
        <v>0.33200977397678683</v>
      </c>
      <c r="H139" s="202">
        <v>0.32168219303604156</v>
      </c>
      <c r="I139" s="102">
        <v>0.38790470372632863</v>
      </c>
      <c r="J139" s="202">
        <v>0.34847790673997153</v>
      </c>
      <c r="K139" s="102">
        <v>0.4621258399511301</v>
      </c>
      <c r="L139" s="202">
        <v>0.3752736204439015</v>
      </c>
      <c r="M139" s="102">
        <v>0.51374465485644472</v>
      </c>
      <c r="N139" s="199">
        <v>0.40206933414783147</v>
      </c>
      <c r="O139" s="102">
        <f>VLOOKUP(C139,'[1]OR SEP'!$W$4:$Z$21,'[1]OR SEP'!$Y$3,FALSE)</f>
        <v>0.54276114844227241</v>
      </c>
      <c r="P139" s="89">
        <v>0.42886504785176144</v>
      </c>
      <c r="Q139" s="102">
        <v>0.5916310323762981</v>
      </c>
      <c r="R139" s="89">
        <v>0.45566076155569141</v>
      </c>
      <c r="S139" s="78"/>
      <c r="T139" s="89">
        <v>0.48245647525962138</v>
      </c>
      <c r="U139" s="78"/>
      <c r="V139" s="89">
        <v>0.5092521889635514</v>
      </c>
      <c r="W139" s="78"/>
      <c r="X139" s="89">
        <v>0.53604790266748137</v>
      </c>
      <c r="Y139" s="78"/>
      <c r="Z139" s="89">
        <v>0.56284361637141134</v>
      </c>
      <c r="AA139" s="78"/>
    </row>
    <row r="140" spans="2:29">
      <c r="C140" s="197" t="s">
        <v>94</v>
      </c>
      <c r="D140" s="202">
        <v>0.33315787212100378</v>
      </c>
      <c r="E140" s="102">
        <v>0.33396356136129252</v>
      </c>
      <c r="F140" s="202">
        <v>0.34386816775524237</v>
      </c>
      <c r="G140" s="102">
        <v>0.36232382261945684</v>
      </c>
      <c r="H140" s="202">
        <v>0.3545784633894809</v>
      </c>
      <c r="I140" s="102">
        <v>0.38037126160192508</v>
      </c>
      <c r="J140" s="202">
        <v>0.36528875902371949</v>
      </c>
      <c r="K140" s="102">
        <v>0.39412169130285324</v>
      </c>
      <c r="L140" s="202">
        <v>0.37599905465795808</v>
      </c>
      <c r="M140" s="102">
        <v>0.40168442763836371</v>
      </c>
      <c r="N140" s="199">
        <v>0.38670935029219661</v>
      </c>
      <c r="O140" s="102">
        <f>VLOOKUP(C140,'[1]OR SEP'!$W$4:$Z$21,'[1]OR SEP'!$Y$3,FALSE)</f>
        <v>0.41010656583018218</v>
      </c>
      <c r="P140" s="89">
        <v>0.39741964592643519</v>
      </c>
      <c r="Q140" s="102">
        <v>0.41526297696803027</v>
      </c>
      <c r="R140" s="89">
        <v>0.40812994156067378</v>
      </c>
      <c r="S140" s="78"/>
      <c r="T140" s="89">
        <v>0.41884023719491237</v>
      </c>
      <c r="U140" s="78"/>
      <c r="V140" s="89">
        <v>0.4295505328291509</v>
      </c>
      <c r="W140" s="78"/>
      <c r="X140" s="89">
        <v>0.44026082846338949</v>
      </c>
      <c r="Y140" s="78"/>
      <c r="Z140" s="89">
        <v>0.45097112409762807</v>
      </c>
      <c r="AA140" s="78"/>
    </row>
    <row r="141" spans="2:29">
      <c r="C141" s="197" t="s">
        <v>83</v>
      </c>
      <c r="D141" s="202">
        <v>0.45315311235887212</v>
      </c>
      <c r="E141" s="102">
        <v>0.44412244158666908</v>
      </c>
      <c r="F141" s="202">
        <v>0.47450039244098285</v>
      </c>
      <c r="G141" s="102">
        <v>0.48215902916138381</v>
      </c>
      <c r="H141" s="202">
        <v>0.49584767252309353</v>
      </c>
      <c r="I141" s="102">
        <v>0.52590110487230579</v>
      </c>
      <c r="J141" s="202">
        <v>0.51719495260520421</v>
      </c>
      <c r="K141" s="102">
        <v>0.55243615287085668</v>
      </c>
      <c r="L141" s="202">
        <v>0.53854223268731494</v>
      </c>
      <c r="M141" s="102">
        <v>0.58911429088933165</v>
      </c>
      <c r="N141" s="199">
        <v>0.55988951276942556</v>
      </c>
      <c r="O141" s="102">
        <f>VLOOKUP(C141,'[1]OR SEP'!$W$4:$Z$21,'[1]OR SEP'!$Y$3,FALSE)</f>
        <v>0.61320412968665094</v>
      </c>
      <c r="P141" s="89">
        <v>0.58123679285153629</v>
      </c>
      <c r="Q141" s="102">
        <v>0.6284187647165369</v>
      </c>
      <c r="R141" s="89">
        <v>0.60258407293364702</v>
      </c>
      <c r="S141" s="78"/>
      <c r="T141" s="89">
        <v>0.62393135301575764</v>
      </c>
      <c r="U141" s="78"/>
      <c r="V141" s="89">
        <v>0.64527863309786837</v>
      </c>
      <c r="W141" s="78"/>
      <c r="X141" s="89">
        <v>0.6666259131799791</v>
      </c>
      <c r="Y141" s="78"/>
      <c r="Z141" s="89">
        <v>0.68797319326208972</v>
      </c>
      <c r="AA141" s="78"/>
    </row>
    <row r="142" spans="2:29">
      <c r="C142" s="197" t="s">
        <v>89</v>
      </c>
      <c r="D142" s="202">
        <v>0.31794261076419866</v>
      </c>
      <c r="E142" s="102">
        <v>0.30936663693131133</v>
      </c>
      <c r="F142" s="202">
        <v>0.33419030627416002</v>
      </c>
      <c r="G142" s="102">
        <v>0.32132024977698481</v>
      </c>
      <c r="H142" s="202">
        <v>0.35043800178412132</v>
      </c>
      <c r="I142" s="102">
        <v>0.33737734165923283</v>
      </c>
      <c r="J142" s="202">
        <v>0.36668569729408268</v>
      </c>
      <c r="K142" s="102">
        <v>0.35093666369313115</v>
      </c>
      <c r="L142" s="202">
        <v>0.38293339280404404</v>
      </c>
      <c r="M142" s="102">
        <v>0.37859054415700266</v>
      </c>
      <c r="N142" s="199">
        <v>0.39918108831400534</v>
      </c>
      <c r="O142" s="102">
        <f>VLOOKUP(C142,'[1]OR SEP'!$W$4:$Z$21,'[1]OR SEP'!$Y$3,FALSE)</f>
        <v>0.42694023193577163</v>
      </c>
      <c r="P142" s="89">
        <v>0.41542878382396664</v>
      </c>
      <c r="Q142" s="102">
        <v>0.46404995539696697</v>
      </c>
      <c r="R142" s="89">
        <v>0.43167647933392794</v>
      </c>
      <c r="S142" s="78"/>
      <c r="T142" s="89">
        <v>0.44792417484388924</v>
      </c>
      <c r="U142" s="78"/>
      <c r="V142" s="89">
        <v>0.4641718703538506</v>
      </c>
      <c r="W142" s="78"/>
      <c r="X142" s="89">
        <v>0.4804195658638119</v>
      </c>
      <c r="Y142" s="78"/>
      <c r="Z142" s="89">
        <v>0.49666726137377321</v>
      </c>
      <c r="AA142" s="78"/>
    </row>
    <row r="143" spans="2:29">
      <c r="C143" s="197" t="s">
        <v>0</v>
      </c>
      <c r="D143" s="202">
        <v>0.44451454609183316</v>
      </c>
      <c r="E143" s="102">
        <v>0.4647739221871714</v>
      </c>
      <c r="F143" s="202">
        <v>0.46421310900806173</v>
      </c>
      <c r="G143" s="102">
        <v>0.52050473186119872</v>
      </c>
      <c r="H143" s="202">
        <v>0.48391167192429024</v>
      </c>
      <c r="I143" s="102">
        <v>0.59516298633017872</v>
      </c>
      <c r="J143" s="202">
        <v>0.50361023484051881</v>
      </c>
      <c r="K143" s="102">
        <v>0.65825446898002105</v>
      </c>
      <c r="L143" s="202">
        <v>0.52330879775674732</v>
      </c>
      <c r="M143" s="102">
        <v>0.68874868559411151</v>
      </c>
      <c r="N143" s="199">
        <v>0.54300736067297595</v>
      </c>
      <c r="O143" s="102">
        <f>VLOOKUP(C143,'[1]OR SEP'!$W$4:$Z$21,'[1]OR SEP'!$Y$3,FALSE)</f>
        <v>0.71503680336487907</v>
      </c>
      <c r="P143" s="89">
        <v>0.56270592358920446</v>
      </c>
      <c r="Q143" s="102">
        <v>0.73817034700315454</v>
      </c>
      <c r="R143" s="89">
        <v>0.58240448650543297</v>
      </c>
      <c r="S143" s="78"/>
      <c r="T143" s="89">
        <v>0.6021030494216616</v>
      </c>
      <c r="U143" s="78"/>
      <c r="V143" s="89">
        <v>0.62180161233789011</v>
      </c>
      <c r="W143" s="78"/>
      <c r="X143" s="89">
        <v>0.64150017525411862</v>
      </c>
      <c r="Y143" s="78"/>
      <c r="Z143" s="89">
        <v>0.66119873817034724</v>
      </c>
      <c r="AA143" s="78"/>
    </row>
    <row r="144" spans="2:29">
      <c r="C144" s="197" t="s">
        <v>103</v>
      </c>
      <c r="D144" s="202">
        <v>0.49053069272976679</v>
      </c>
      <c r="E144" s="102">
        <v>0.48456790123456789</v>
      </c>
      <c r="F144" s="202">
        <v>0.50781035665294927</v>
      </c>
      <c r="G144" s="102">
        <v>0.49382716049382713</v>
      </c>
      <c r="H144" s="202">
        <v>0.52509002057613174</v>
      </c>
      <c r="I144" s="102">
        <v>0.50102880658436211</v>
      </c>
      <c r="J144" s="202">
        <v>0.54236968449931422</v>
      </c>
      <c r="K144" s="102">
        <v>0.50514403292181065</v>
      </c>
      <c r="L144" s="202">
        <v>0.5596493484224967</v>
      </c>
      <c r="M144" s="102">
        <v>0.52057613168724282</v>
      </c>
      <c r="N144" s="199">
        <v>0.57692901234567906</v>
      </c>
      <c r="O144" s="102">
        <f>VLOOKUP(C144,'[1]OR SEP'!$W$4:$Z$21,'[1]OR SEP'!$Y$3,FALSE)</f>
        <v>0.53086419753086422</v>
      </c>
      <c r="P144" s="89">
        <v>0.59420867626886154</v>
      </c>
      <c r="Q144" s="102">
        <v>0.55658436213991769</v>
      </c>
      <c r="R144" s="89">
        <v>0.61148834019204401</v>
      </c>
      <c r="S144" s="78"/>
      <c r="T144" s="89">
        <v>0.62876800411522649</v>
      </c>
      <c r="U144" s="78"/>
      <c r="V144" s="89">
        <v>0.64604766803840896</v>
      </c>
      <c r="W144" s="78"/>
      <c r="X144" s="89">
        <v>0.66332733196159144</v>
      </c>
      <c r="Y144" s="78"/>
      <c r="Z144" s="89">
        <v>0.6806069958847738</v>
      </c>
      <c r="AA144" s="78"/>
    </row>
    <row r="145" spans="3:27">
      <c r="C145" s="197" t="s">
        <v>102</v>
      </c>
      <c r="D145" s="202">
        <v>0.51041055718475081</v>
      </c>
      <c r="E145" s="102">
        <v>0.49266862170087977</v>
      </c>
      <c r="F145" s="202">
        <v>0.53108504398826983</v>
      </c>
      <c r="G145" s="102">
        <v>0.52785923753665687</v>
      </c>
      <c r="H145" s="202">
        <v>0.55175953079178897</v>
      </c>
      <c r="I145" s="102">
        <v>0.59677419354838712</v>
      </c>
      <c r="J145" s="202">
        <v>0.5724340175953081</v>
      </c>
      <c r="K145" s="102">
        <v>0.63636363636363635</v>
      </c>
      <c r="L145" s="202">
        <v>0.59310850439882712</v>
      </c>
      <c r="M145" s="102">
        <v>0.67155425219941345</v>
      </c>
      <c r="N145" s="199">
        <v>0.61378299120234625</v>
      </c>
      <c r="O145" s="102">
        <f>VLOOKUP(C145,'[1]OR SEP'!$W$4:$Z$21,'[1]OR SEP'!$Y$3,FALSE)</f>
        <v>0.68768328445747806</v>
      </c>
      <c r="P145" s="89">
        <v>0.63445747800586538</v>
      </c>
      <c r="Q145" s="102">
        <v>0.70674486803519065</v>
      </c>
      <c r="R145" s="89">
        <v>0.6551319648093844</v>
      </c>
      <c r="S145" s="78"/>
      <c r="T145" s="89">
        <v>0.67580645161290354</v>
      </c>
      <c r="U145" s="78"/>
      <c r="V145" s="89">
        <v>0.69648093841642267</v>
      </c>
      <c r="W145" s="78"/>
      <c r="X145" s="89">
        <v>0.71715542521994169</v>
      </c>
      <c r="Y145" s="78"/>
      <c r="Z145" s="89">
        <v>0.73782991202346082</v>
      </c>
      <c r="AA145" s="78"/>
    </row>
    <row r="146" spans="3:27">
      <c r="C146" s="197" t="s">
        <v>98</v>
      </c>
      <c r="D146" s="202">
        <v>0.46150990099009898</v>
      </c>
      <c r="E146" s="102">
        <v>0.43564356435643564</v>
      </c>
      <c r="F146" s="202">
        <v>0.48737623762376231</v>
      </c>
      <c r="G146" s="102">
        <v>0.44554455445544555</v>
      </c>
      <c r="H146" s="202">
        <v>0.5132425742574257</v>
      </c>
      <c r="I146" s="102">
        <v>0.44554455445544555</v>
      </c>
      <c r="J146" s="202">
        <v>0.53910891089108903</v>
      </c>
      <c r="K146" s="102">
        <v>0.46534653465346537</v>
      </c>
      <c r="L146" s="202">
        <v>0.56497524752475237</v>
      </c>
      <c r="M146" s="102">
        <v>0.48019801980198018</v>
      </c>
      <c r="N146" s="199">
        <v>0.5908415841584157</v>
      </c>
      <c r="O146" s="102">
        <f>VLOOKUP(C146,'[1]OR SEP'!$W$4:$Z$21,'[1]OR SEP'!$Y$3,FALSE)</f>
        <v>0.50990099009900991</v>
      </c>
      <c r="P146" s="89">
        <v>0.61670792079207903</v>
      </c>
      <c r="Q146" s="102">
        <v>0.54455445544554459</v>
      </c>
      <c r="R146" s="89">
        <v>0.64257425742574237</v>
      </c>
      <c r="S146" s="78"/>
      <c r="T146" s="89">
        <v>0.6684405940594057</v>
      </c>
      <c r="U146" s="78"/>
      <c r="V146" s="89">
        <v>0.69430693069306904</v>
      </c>
      <c r="W146" s="78"/>
      <c r="X146" s="89">
        <v>0.72017326732673237</v>
      </c>
      <c r="Y146" s="78"/>
      <c r="Z146" s="89">
        <v>0.7460396039603957</v>
      </c>
      <c r="AA146" s="78"/>
    </row>
    <row r="147" spans="3:27">
      <c r="C147" s="197" t="s">
        <v>96</v>
      </c>
      <c r="D147" s="202">
        <v>0.38059868875086261</v>
      </c>
      <c r="E147" s="102">
        <v>0.36853002070393376</v>
      </c>
      <c r="F147" s="202">
        <v>0.40716011042097994</v>
      </c>
      <c r="G147" s="102">
        <v>0.41614906832298137</v>
      </c>
      <c r="H147" s="202">
        <v>0.43372153209109721</v>
      </c>
      <c r="I147" s="102">
        <v>0.453416149068323</v>
      </c>
      <c r="J147" s="202">
        <v>0.46028295376121453</v>
      </c>
      <c r="K147" s="102">
        <v>0.48447204968944102</v>
      </c>
      <c r="L147" s="202">
        <v>0.4868443754313318</v>
      </c>
      <c r="M147" s="102">
        <v>0.51345755693581785</v>
      </c>
      <c r="N147" s="199">
        <v>0.51340579710144907</v>
      </c>
      <c r="O147" s="102">
        <f>VLOOKUP(C147,'[1]OR SEP'!$W$4:$Z$21,'[1]OR SEP'!$Y$3,FALSE)</f>
        <v>0.53623188405797106</v>
      </c>
      <c r="P147" s="89">
        <v>0.53996721877156639</v>
      </c>
      <c r="Q147" s="102">
        <v>0.54865424430641818</v>
      </c>
      <c r="R147" s="89">
        <v>0.56652864044168372</v>
      </c>
      <c r="S147" s="78"/>
      <c r="T147" s="89">
        <v>0.59309006211180093</v>
      </c>
      <c r="U147" s="78"/>
      <c r="V147" s="89">
        <v>0.61965148378191826</v>
      </c>
      <c r="W147" s="78"/>
      <c r="X147" s="89">
        <v>0.64621290545203558</v>
      </c>
      <c r="Y147" s="78"/>
      <c r="Z147" s="89">
        <v>0.67277432712215279</v>
      </c>
      <c r="AA147" s="78"/>
    </row>
    <row r="148" spans="3:27">
      <c r="C148" s="197" t="s">
        <v>100</v>
      </c>
      <c r="D148" s="202">
        <v>0.24253921568627451</v>
      </c>
      <c r="E148" s="102">
        <v>0.21411764705882352</v>
      </c>
      <c r="F148" s="202">
        <v>0.28507843137254901</v>
      </c>
      <c r="G148" s="102">
        <v>0.22823529411764706</v>
      </c>
      <c r="H148" s="202">
        <v>0.32761764705882357</v>
      </c>
      <c r="I148" s="102">
        <v>0.25176470588235295</v>
      </c>
      <c r="J148" s="202">
        <v>0.37015686274509807</v>
      </c>
      <c r="K148" s="102">
        <v>0.32705882352941179</v>
      </c>
      <c r="L148" s="202">
        <v>0.41269607843137263</v>
      </c>
      <c r="M148" s="102">
        <v>0.44941176470588234</v>
      </c>
      <c r="N148" s="199">
        <v>0.45523529411764718</v>
      </c>
      <c r="O148" s="102">
        <f>VLOOKUP(C148,'[1]OR SEP'!$W$4:$Z$21,'[1]OR SEP'!$Y$3,FALSE)</f>
        <v>0.46352941176470586</v>
      </c>
      <c r="P148" s="89">
        <v>0.49777450980392174</v>
      </c>
      <c r="Q148" s="102">
        <v>0.54352941176470593</v>
      </c>
      <c r="R148" s="89">
        <v>0.54031372549019629</v>
      </c>
      <c r="S148" s="78"/>
      <c r="T148" s="89">
        <v>0.5828529411764708</v>
      </c>
      <c r="U148" s="78"/>
      <c r="V148" s="89">
        <v>0.6253921568627453</v>
      </c>
      <c r="W148" s="78"/>
      <c r="X148" s="89">
        <v>0.6679313725490198</v>
      </c>
      <c r="Y148" s="78"/>
      <c r="Z148" s="89">
        <v>0.71047058823529419</v>
      </c>
      <c r="AA148" s="78"/>
    </row>
    <row r="149" spans="3:27">
      <c r="C149" s="197" t="s">
        <v>99</v>
      </c>
      <c r="D149" s="202">
        <v>0.60121026011560696</v>
      </c>
      <c r="E149" s="102">
        <v>0.59826589595375723</v>
      </c>
      <c r="F149" s="202">
        <v>0.61427023121387292</v>
      </c>
      <c r="G149" s="102">
        <v>0.60838150289017345</v>
      </c>
      <c r="H149" s="202">
        <v>0.62733020231213887</v>
      </c>
      <c r="I149" s="102">
        <v>0.63294797687861271</v>
      </c>
      <c r="J149" s="202">
        <v>0.64039017341040472</v>
      </c>
      <c r="K149" s="102">
        <v>0.66763005780346818</v>
      </c>
      <c r="L149" s="202">
        <v>0.65345014450867067</v>
      </c>
      <c r="M149" s="102">
        <v>0.68786127167630062</v>
      </c>
      <c r="N149" s="199">
        <v>0.66651011560693663</v>
      </c>
      <c r="O149" s="102">
        <f>VLOOKUP(C149,'[1]OR SEP'!$W$4:$Z$21,'[1]OR SEP'!$Y$3,FALSE)</f>
        <v>0.71242774566473988</v>
      </c>
      <c r="P149" s="89">
        <v>0.67957008670520258</v>
      </c>
      <c r="Q149" s="102">
        <v>0.73988439306358378</v>
      </c>
      <c r="R149" s="89">
        <v>0.69263005780346842</v>
      </c>
      <c r="S149" s="78"/>
      <c r="T149" s="89">
        <v>0.70569002890173438</v>
      </c>
      <c r="U149" s="78"/>
      <c r="V149" s="89">
        <v>0.71875000000000033</v>
      </c>
      <c r="W149" s="78"/>
      <c r="X149" s="89">
        <v>0.73180997109826629</v>
      </c>
      <c r="Y149" s="78"/>
      <c r="Z149" s="89">
        <v>0.74486994219653213</v>
      </c>
      <c r="AA149" s="78"/>
    </row>
    <row r="150" spans="3:27">
      <c r="C150" s="197" t="s">
        <v>97</v>
      </c>
      <c r="D150" s="202">
        <v>0.38766375545851534</v>
      </c>
      <c r="E150" s="102">
        <v>0.38646288209606988</v>
      </c>
      <c r="F150" s="202">
        <v>0.40851528384279479</v>
      </c>
      <c r="G150" s="102">
        <v>0.40393013100436681</v>
      </c>
      <c r="H150" s="202">
        <v>0.42936681222707429</v>
      </c>
      <c r="I150" s="102">
        <v>0.41703056768558949</v>
      </c>
      <c r="J150" s="202">
        <v>0.4502183406113538</v>
      </c>
      <c r="K150" s="102">
        <v>0.43013100436681223</v>
      </c>
      <c r="L150" s="202">
        <v>0.4710698689956333</v>
      </c>
      <c r="M150" s="102">
        <v>0.45633187772925765</v>
      </c>
      <c r="N150" s="199">
        <v>0.49192139737991281</v>
      </c>
      <c r="O150" s="102">
        <f>VLOOKUP(C150,'[1]OR SEP'!$W$4:$Z$21,'[1]OR SEP'!$Y$3,FALSE)</f>
        <v>0.4606986899563319</v>
      </c>
      <c r="P150" s="89">
        <v>0.51277292576419231</v>
      </c>
      <c r="Q150" s="102">
        <v>0.47816593886462883</v>
      </c>
      <c r="R150" s="89">
        <v>0.53362445414847182</v>
      </c>
      <c r="S150" s="78"/>
      <c r="T150" s="89">
        <v>0.55447598253275132</v>
      </c>
      <c r="U150" s="78"/>
      <c r="V150" s="89">
        <v>0.57532751091703083</v>
      </c>
      <c r="W150" s="78"/>
      <c r="X150" s="89">
        <v>0.59617903930131033</v>
      </c>
      <c r="Y150" s="78"/>
      <c r="Z150" s="89">
        <v>0.61703056768558984</v>
      </c>
      <c r="AA150" s="78"/>
    </row>
    <row r="151" spans="3:27">
      <c r="C151" s="197" t="s">
        <v>28</v>
      </c>
      <c r="D151" s="202">
        <v>0.11193633952254643</v>
      </c>
      <c r="E151" s="102">
        <v>0.11671087533156499</v>
      </c>
      <c r="F151" s="202">
        <v>0.14960212201591513</v>
      </c>
      <c r="G151" s="102">
        <v>0.17771883289124668</v>
      </c>
      <c r="H151" s="202">
        <v>0.18726790450928385</v>
      </c>
      <c r="I151" s="102">
        <v>0.21750663129973474</v>
      </c>
      <c r="J151" s="202">
        <v>0.22493368700265254</v>
      </c>
      <c r="K151" s="102">
        <v>0.27055702917771884</v>
      </c>
      <c r="L151" s="202">
        <v>0.26259946949602125</v>
      </c>
      <c r="M151" s="102">
        <v>0.28912466843501328</v>
      </c>
      <c r="N151" s="199">
        <v>0.30026525198938997</v>
      </c>
      <c r="O151" s="102">
        <f>VLOOKUP(C151,'[1]OR SEP'!$W$4:$Z$21,'[1]OR SEP'!$Y$3,FALSE)</f>
        <v>0.29708222811671087</v>
      </c>
      <c r="P151" s="89">
        <v>0.33793103448275869</v>
      </c>
      <c r="Q151" s="102">
        <v>0.3183023872679045</v>
      </c>
      <c r="R151" s="89">
        <v>0.3755968169761274</v>
      </c>
      <c r="S151" s="78"/>
      <c r="T151" s="89">
        <v>0.41326259946949606</v>
      </c>
      <c r="U151" s="78"/>
      <c r="V151" s="89">
        <v>0.45092838196286472</v>
      </c>
      <c r="W151" s="78"/>
      <c r="X151" s="89">
        <v>0.48859416445623338</v>
      </c>
      <c r="Y151" s="78"/>
      <c r="Z151" s="89">
        <v>0.5262599469496021</v>
      </c>
      <c r="AA151" s="78"/>
    </row>
    <row r="152" spans="3:27">
      <c r="C152" s="197" t="s">
        <v>29</v>
      </c>
      <c r="D152" s="202">
        <v>5.5670426065162905E-2</v>
      </c>
      <c r="E152" s="102">
        <v>7.5187969924812026E-3</v>
      </c>
      <c r="F152" s="202">
        <v>0.10382205513784461</v>
      </c>
      <c r="G152" s="102">
        <v>7.5187969924812026E-3</v>
      </c>
      <c r="H152" s="202">
        <v>0.15197368421052634</v>
      </c>
      <c r="I152" s="102">
        <v>7.5187969924812026E-3</v>
      </c>
      <c r="J152" s="202">
        <v>0.20012531328320801</v>
      </c>
      <c r="K152" s="102">
        <v>7.5187969924812026E-3</v>
      </c>
      <c r="L152" s="202">
        <v>0.24827694235588973</v>
      </c>
      <c r="M152" s="102">
        <v>7.5187969924812026E-3</v>
      </c>
      <c r="N152" s="199">
        <v>0.29642857142857149</v>
      </c>
      <c r="O152" s="102">
        <v>7.5187969924812026E-3</v>
      </c>
      <c r="P152" s="89">
        <v>0.34458020050125315</v>
      </c>
      <c r="Q152" s="78"/>
      <c r="R152" s="89">
        <v>0.39273182957393488</v>
      </c>
      <c r="S152" s="78"/>
      <c r="T152" s="89">
        <v>0.4408834586466166</v>
      </c>
      <c r="U152" s="78"/>
      <c r="V152" s="89">
        <v>0.48903508771929827</v>
      </c>
      <c r="W152" s="78"/>
      <c r="X152" s="89">
        <v>0.53718671679197993</v>
      </c>
      <c r="Y152" s="78"/>
      <c r="Z152" s="89">
        <v>0.58533834586466171</v>
      </c>
      <c r="AA152" s="78"/>
    </row>
    <row r="153" spans="3:27">
      <c r="C153" s="197" t="s">
        <v>189</v>
      </c>
      <c r="D153" s="202"/>
      <c r="E153" s="102"/>
      <c r="F153" s="202"/>
      <c r="G153" s="102"/>
      <c r="H153" s="202"/>
      <c r="I153" s="102"/>
      <c r="J153" s="202"/>
      <c r="K153" s="102"/>
      <c r="L153" s="202"/>
      <c r="M153" s="102"/>
      <c r="N153" s="199"/>
      <c r="O153" s="78"/>
      <c r="P153" s="89"/>
      <c r="Q153" s="78"/>
      <c r="R153" s="89"/>
      <c r="S153" s="78"/>
      <c r="T153" s="89"/>
      <c r="U153" s="78"/>
      <c r="V153" s="89"/>
      <c r="W153" s="78"/>
      <c r="X153" s="89"/>
      <c r="Y153" s="78"/>
      <c r="Z153" s="89"/>
      <c r="AA153" s="78"/>
    </row>
    <row r="154" spans="3:27" ht="15.75" thickBot="1">
      <c r="C154" s="197" t="s">
        <v>106</v>
      </c>
      <c r="D154" s="204">
        <v>0.28428908934707903</v>
      </c>
      <c r="E154" s="105">
        <v>0.26804123711340205</v>
      </c>
      <c r="F154" s="204">
        <v>0.31600085910652925</v>
      </c>
      <c r="G154" s="105">
        <v>0.30670103092783507</v>
      </c>
      <c r="H154" s="204">
        <v>0.34771262886597942</v>
      </c>
      <c r="I154" s="105">
        <v>0.32989690721649484</v>
      </c>
      <c r="J154" s="204">
        <v>0.37942439862542965</v>
      </c>
      <c r="K154" s="105">
        <v>0.32989690721649484</v>
      </c>
      <c r="L154" s="204">
        <v>0.41113616838487976</v>
      </c>
      <c r="M154" s="105">
        <v>0.32989690721649484</v>
      </c>
      <c r="N154" s="199">
        <v>0.44284793814432999</v>
      </c>
      <c r="O154" s="102">
        <v>0.32989690721649484</v>
      </c>
      <c r="P154" s="89">
        <v>0.47455970790378016</v>
      </c>
      <c r="Q154" s="102">
        <v>0.37886597938144329</v>
      </c>
      <c r="R154" s="89">
        <v>0.50627147766323044</v>
      </c>
      <c r="S154" s="80"/>
      <c r="T154" s="89">
        <v>0.53798324742268055</v>
      </c>
      <c r="U154" s="80"/>
      <c r="V154" s="89">
        <v>0.56969501718213078</v>
      </c>
      <c r="W154" s="80"/>
      <c r="X154" s="89">
        <v>0.6014067869415809</v>
      </c>
      <c r="Y154" s="80"/>
      <c r="Z154" s="89">
        <v>0.63311855670103112</v>
      </c>
      <c r="AA154" s="80"/>
    </row>
    <row r="155" spans="3:27">
      <c r="C155"/>
    </row>
    <row r="156" spans="3:27">
      <c r="C156"/>
      <c r="H156"/>
      <c r="M156" s="232">
        <f>M151/L151</f>
        <v>1.101010101010101</v>
      </c>
    </row>
    <row r="157" spans="3:27">
      <c r="C157"/>
      <c r="K157" s="187"/>
      <c r="M157" s="232">
        <f>M152/L152</f>
        <v>3.0283911671924287E-2</v>
      </c>
      <c r="O157" s="232">
        <f>O151/Z151</f>
        <v>0.56451612903225812</v>
      </c>
      <c r="Q157" s="187">
        <f>Q149/P149</f>
        <v>1.0887536216474836</v>
      </c>
    </row>
    <row r="158" spans="3:27">
      <c r="C158"/>
      <c r="H158"/>
      <c r="K158" s="187"/>
      <c r="O158" s="232">
        <f>O152/Z152</f>
        <v>1.2845215157353884E-2</v>
      </c>
    </row>
    <row r="159" spans="3:27">
      <c r="C159"/>
      <c r="H159"/>
    </row>
    <row r="160" spans="3:27">
      <c r="C160"/>
      <c r="H160"/>
    </row>
    <row r="161" spans="3:8">
      <c r="C161"/>
      <c r="H161"/>
    </row>
    <row r="162" spans="3:8">
      <c r="C162"/>
      <c r="H162"/>
    </row>
    <row r="163" spans="3:8">
      <c r="C163"/>
      <c r="H163"/>
    </row>
    <row r="164" spans="3:8">
      <c r="C164"/>
      <c r="H164"/>
    </row>
    <row r="165" spans="3:8">
      <c r="C165"/>
      <c r="H165"/>
    </row>
    <row r="166" spans="3:8">
      <c r="C166"/>
      <c r="H166"/>
    </row>
    <row r="167" spans="3:8">
      <c r="C167"/>
      <c r="H167"/>
    </row>
    <row r="168" spans="3:8">
      <c r="C168"/>
      <c r="H168"/>
    </row>
    <row r="169" spans="3:8">
      <c r="C169"/>
      <c r="D169"/>
      <c r="E169"/>
      <c r="F169"/>
      <c r="G169"/>
      <c r="H169"/>
    </row>
    <row r="170" spans="3:8">
      <c r="C170"/>
      <c r="D170"/>
      <c r="E170"/>
      <c r="F170"/>
      <c r="G170"/>
      <c r="H170"/>
    </row>
    <row r="171" spans="3:8">
      <c r="C171"/>
      <c r="D171"/>
      <c r="E171"/>
      <c r="F171"/>
      <c r="G171"/>
      <c r="H171"/>
    </row>
    <row r="172" spans="3:8">
      <c r="C172"/>
      <c r="D172"/>
      <c r="E172"/>
      <c r="F172"/>
      <c r="G172"/>
      <c r="H172"/>
    </row>
    <row r="173" spans="3:8">
      <c r="C173"/>
      <c r="D173"/>
      <c r="E173"/>
      <c r="F173"/>
      <c r="G173"/>
      <c r="H173"/>
    </row>
    <row r="174" spans="3:8">
      <c r="C174"/>
      <c r="D174"/>
      <c r="E174"/>
      <c r="F174"/>
      <c r="G174"/>
      <c r="H174"/>
    </row>
    <row r="175" spans="3:8">
      <c r="C175"/>
      <c r="D175"/>
      <c r="E175"/>
      <c r="F175"/>
      <c r="G175"/>
      <c r="H175"/>
    </row>
    <row r="176" spans="3:8">
      <c r="C176"/>
      <c r="D176"/>
      <c r="E176"/>
      <c r="F176"/>
      <c r="G176"/>
      <c r="H176"/>
    </row>
    <row r="177" spans="3:8">
      <c r="C177"/>
      <c r="D177"/>
      <c r="E177"/>
      <c r="F177"/>
      <c r="G177"/>
      <c r="H177"/>
    </row>
    <row r="178" spans="3:8">
      <c r="C178"/>
      <c r="D178"/>
      <c r="E178"/>
      <c r="F178"/>
      <c r="G178"/>
      <c r="H178"/>
    </row>
    <row r="179" spans="3:8">
      <c r="C179"/>
      <c r="D179"/>
      <c r="E179"/>
      <c r="F179"/>
      <c r="G179"/>
      <c r="H179"/>
    </row>
    <row r="180" spans="3:8">
      <c r="C180"/>
      <c r="D180"/>
      <c r="E180"/>
      <c r="F180"/>
      <c r="G180"/>
      <c r="H180"/>
    </row>
    <row r="181" spans="3:8">
      <c r="C181"/>
      <c r="D181"/>
      <c r="E181"/>
      <c r="F181"/>
      <c r="G181"/>
      <c r="H181"/>
    </row>
  </sheetData>
  <mergeCells count="51">
    <mergeCell ref="L41:M41"/>
    <mergeCell ref="N41:O41"/>
    <mergeCell ref="P77:Q77"/>
    <mergeCell ref="R77:S77"/>
    <mergeCell ref="T77:U77"/>
    <mergeCell ref="L77:M77"/>
    <mergeCell ref="N77:O77"/>
    <mergeCell ref="P41:Q41"/>
    <mergeCell ref="R41:S41"/>
    <mergeCell ref="T41:U41"/>
    <mergeCell ref="F41:G41"/>
    <mergeCell ref="H41:I41"/>
    <mergeCell ref="J41:K41"/>
    <mergeCell ref="F77:G77"/>
    <mergeCell ref="H77:I77"/>
    <mergeCell ref="J77:K77"/>
    <mergeCell ref="D77:E77"/>
    <mergeCell ref="C99:C100"/>
    <mergeCell ref="D99:D100"/>
    <mergeCell ref="E99:E100"/>
    <mergeCell ref="D41:E41"/>
    <mergeCell ref="D97:E97"/>
    <mergeCell ref="T97:U97"/>
    <mergeCell ref="J135:K135"/>
    <mergeCell ref="L135:M135"/>
    <mergeCell ref="N135:O135"/>
    <mergeCell ref="P135:Q135"/>
    <mergeCell ref="R135:S135"/>
    <mergeCell ref="T135:U135"/>
    <mergeCell ref="J97:K97"/>
    <mergeCell ref="L97:M97"/>
    <mergeCell ref="N97:O97"/>
    <mergeCell ref="D135:E135"/>
    <mergeCell ref="F135:G135"/>
    <mergeCell ref="H135:I135"/>
    <mergeCell ref="P97:Q97"/>
    <mergeCell ref="R97:S97"/>
    <mergeCell ref="F97:G97"/>
    <mergeCell ref="H97:I97"/>
    <mergeCell ref="F99:F100"/>
    <mergeCell ref="G99:G100"/>
    <mergeCell ref="H99:H100"/>
    <mergeCell ref="I99:I100"/>
    <mergeCell ref="J99:J100"/>
    <mergeCell ref="K99:K100"/>
    <mergeCell ref="V135:W135"/>
    <mergeCell ref="X135:Y135"/>
    <mergeCell ref="Z135:AA135"/>
    <mergeCell ref="AA97:AA98"/>
    <mergeCell ref="AB97:AB98"/>
    <mergeCell ref="Z97:Z98"/>
  </mergeCells>
  <phoneticPr fontId="5" type="noConversion"/>
  <conditionalFormatting sqref="S22:AC36">
    <cfRule type="iconSet" priority="4">
      <iconSet showValue="0">
        <cfvo type="percent" val="0"/>
        <cfvo type="num" val="2"/>
        <cfvo type="num" val="3"/>
      </iconSet>
    </cfRule>
  </conditionalFormatting>
  <conditionalFormatting sqref="AG4:AJ18">
    <cfRule type="iconSet" priority="3">
      <iconSet showValue="0">
        <cfvo type="percent" val="0"/>
        <cfvo type="percent" val="20"/>
        <cfvo type="percent" val="25"/>
      </iconSet>
    </cfRule>
  </conditionalFormatting>
  <conditionalFormatting sqref="AG23:AJ37">
    <cfRule type="iconSet" priority="2">
      <iconSet showValue="0">
        <cfvo type="percent" val="0"/>
        <cfvo type="percent" val="20"/>
        <cfvo type="percent" val="25"/>
      </iconSet>
    </cfRule>
  </conditionalFormatting>
  <conditionalFormatting sqref="AN6:AW20">
    <cfRule type="iconSet" priority="1">
      <iconSet showValue="0">
        <cfvo type="percent" val="0"/>
        <cfvo type="num" val="2"/>
        <cfvo type="num" val="3"/>
      </iconSet>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3D81-D913-4C46-9160-BA94E154DA55}">
  <sheetPr codeName="Hoja6"/>
  <dimension ref="B1:AJ78"/>
  <sheetViews>
    <sheetView topLeftCell="L1" workbookViewId="0">
      <selection activeCell="P91" sqref="P91"/>
    </sheetView>
  </sheetViews>
  <sheetFormatPr baseColWidth="10" defaultColWidth="8.85546875" defaultRowHeight="15"/>
  <cols>
    <col min="1" max="1" width="6.140625" customWidth="1"/>
    <col min="3" max="3" width="9" bestFit="1" customWidth="1"/>
    <col min="4" max="4" width="10.140625" bestFit="1" customWidth="1"/>
    <col min="5" max="5" width="20.42578125" bestFit="1" customWidth="1"/>
    <col min="8" max="8" width="12.140625" bestFit="1" customWidth="1"/>
    <col min="12" max="12" width="9" bestFit="1" customWidth="1"/>
    <col min="15" max="15" width="10.5703125" customWidth="1"/>
    <col min="16" max="16" width="27.42578125" bestFit="1" customWidth="1"/>
    <col min="17" max="18" width="13.5703125" customWidth="1"/>
    <col min="19" max="19" width="14.140625" customWidth="1"/>
    <col min="20" max="20" width="27.42578125" bestFit="1" customWidth="1"/>
    <col min="21" max="21" width="20.42578125" bestFit="1" customWidth="1"/>
    <col min="24" max="24" width="17" customWidth="1"/>
    <col min="25" max="25" width="18.42578125" customWidth="1"/>
    <col min="34" max="34" width="45.5703125" customWidth="1"/>
    <col min="35" max="35" width="30" customWidth="1"/>
    <col min="36" max="36" width="36.5703125" customWidth="1"/>
  </cols>
  <sheetData>
    <row r="1" spans="2:36">
      <c r="O1">
        <v>1</v>
      </c>
      <c r="P1">
        <v>2</v>
      </c>
      <c r="Q1">
        <v>3</v>
      </c>
      <c r="S1">
        <v>1</v>
      </c>
      <c r="T1">
        <v>2</v>
      </c>
      <c r="U1">
        <v>3</v>
      </c>
    </row>
    <row r="2" spans="2:36">
      <c r="B2" s="9">
        <v>1</v>
      </c>
      <c r="C2" s="9">
        <v>2</v>
      </c>
      <c r="D2" s="9">
        <v>3</v>
      </c>
      <c r="E2" s="9">
        <v>4</v>
      </c>
      <c r="F2" s="9">
        <v>5</v>
      </c>
      <c r="G2" s="9">
        <v>6</v>
      </c>
      <c r="O2" t="s">
        <v>234</v>
      </c>
      <c r="P2" t="s">
        <v>127</v>
      </c>
      <c r="Q2" t="s">
        <v>235</v>
      </c>
      <c r="S2" t="s">
        <v>234</v>
      </c>
      <c r="T2" t="s">
        <v>127</v>
      </c>
      <c r="U2" t="s">
        <v>236</v>
      </c>
    </row>
    <row r="3" spans="2:36">
      <c r="B3" s="336" t="s">
        <v>127</v>
      </c>
      <c r="C3" s="336" t="s">
        <v>237</v>
      </c>
      <c r="D3" s="336" t="s">
        <v>238</v>
      </c>
      <c r="E3" s="334" t="s">
        <v>231</v>
      </c>
      <c r="F3" s="334" t="s">
        <v>226</v>
      </c>
      <c r="G3" s="334" t="s">
        <v>227</v>
      </c>
      <c r="I3">
        <v>1</v>
      </c>
      <c r="J3">
        <v>2</v>
      </c>
      <c r="L3">
        <v>1</v>
      </c>
      <c r="M3">
        <v>2</v>
      </c>
      <c r="O3" t="s">
        <v>175</v>
      </c>
      <c r="P3" s="21" t="s">
        <v>194</v>
      </c>
      <c r="Q3" s="24">
        <v>1</v>
      </c>
      <c r="S3" t="s">
        <v>91</v>
      </c>
      <c r="T3" s="22" t="s">
        <v>203</v>
      </c>
      <c r="U3" s="24">
        <v>1</v>
      </c>
    </row>
    <row r="4" spans="2:36" ht="105">
      <c r="B4" s="337"/>
      <c r="C4" s="337"/>
      <c r="D4" s="337"/>
      <c r="E4" s="335"/>
      <c r="F4" s="335"/>
      <c r="G4" s="335"/>
      <c r="I4" t="s">
        <v>127</v>
      </c>
      <c r="J4" t="s">
        <v>6</v>
      </c>
      <c r="L4" t="s">
        <v>127</v>
      </c>
      <c r="M4" s="16" t="s">
        <v>7</v>
      </c>
      <c r="O4" t="s">
        <v>110</v>
      </c>
      <c r="P4" s="22" t="s">
        <v>195</v>
      </c>
      <c r="Q4" s="24">
        <v>1</v>
      </c>
      <c r="S4" t="s">
        <v>112</v>
      </c>
      <c r="T4" s="21" t="s">
        <v>204</v>
      </c>
      <c r="U4" s="24">
        <v>1</v>
      </c>
      <c r="AB4" t="s">
        <v>239</v>
      </c>
      <c r="AH4" s="40" t="s">
        <v>240</v>
      </c>
      <c r="AI4" s="39" t="s">
        <v>241</v>
      </c>
      <c r="AJ4" s="39" t="s">
        <v>242</v>
      </c>
    </row>
    <row r="5" spans="2:36" ht="23.45" customHeight="1">
      <c r="B5" s="5" t="s">
        <v>83</v>
      </c>
      <c r="C5" s="7">
        <v>2194631</v>
      </c>
      <c r="D5" s="7">
        <v>4355308</v>
      </c>
      <c r="E5" s="8">
        <v>1.05</v>
      </c>
      <c r="F5" s="7">
        <v>25360</v>
      </c>
      <c r="G5" s="7">
        <v>24160</v>
      </c>
      <c r="I5" s="11" t="s">
        <v>83</v>
      </c>
      <c r="J5" s="12">
        <v>0.79800000000000004</v>
      </c>
      <c r="L5" s="11" t="s">
        <v>83</v>
      </c>
      <c r="M5" s="12">
        <v>0.95699999999999996</v>
      </c>
      <c r="O5" t="s">
        <v>178</v>
      </c>
      <c r="P5" s="21" t="s">
        <v>196</v>
      </c>
      <c r="Q5" s="24">
        <v>1</v>
      </c>
      <c r="S5" t="s">
        <v>179</v>
      </c>
      <c r="T5" s="22" t="s">
        <v>205</v>
      </c>
      <c r="U5" s="24">
        <v>1</v>
      </c>
      <c r="AB5" t="s">
        <v>243</v>
      </c>
      <c r="AH5" s="20" t="s">
        <v>90</v>
      </c>
      <c r="AI5" s="20" t="s">
        <v>90</v>
      </c>
      <c r="AJ5" s="20" t="s">
        <v>90</v>
      </c>
    </row>
    <row r="6" spans="2:36">
      <c r="B6" s="6" t="s">
        <v>103</v>
      </c>
      <c r="C6" s="7">
        <v>331393</v>
      </c>
      <c r="D6" s="7">
        <v>1173066</v>
      </c>
      <c r="E6" s="8">
        <v>0.83</v>
      </c>
      <c r="F6" s="7">
        <v>2721</v>
      </c>
      <c r="G6" s="7">
        <v>3266</v>
      </c>
      <c r="I6" s="11" t="s">
        <v>91</v>
      </c>
      <c r="J6" s="12">
        <v>0.96499999999999997</v>
      </c>
      <c r="L6" s="11" t="s">
        <v>91</v>
      </c>
      <c r="M6" s="12">
        <v>0.93300000000000005</v>
      </c>
      <c r="O6" t="s">
        <v>176</v>
      </c>
      <c r="P6" s="21" t="s">
        <v>197</v>
      </c>
      <c r="Q6" s="27">
        <v>0.4375</v>
      </c>
      <c r="S6" t="s">
        <v>182</v>
      </c>
      <c r="T6" s="22" t="s">
        <v>210</v>
      </c>
      <c r="U6" s="24">
        <v>1</v>
      </c>
      <c r="AB6" t="s">
        <v>244</v>
      </c>
    </row>
    <row r="7" spans="2:36" ht="31.35" customHeight="1">
      <c r="B7" s="6" t="s">
        <v>92</v>
      </c>
      <c r="C7" s="7">
        <v>580139</v>
      </c>
      <c r="D7" s="7">
        <v>3042439</v>
      </c>
      <c r="E7" s="8">
        <v>1.08</v>
      </c>
      <c r="F7" s="7">
        <v>5011</v>
      </c>
      <c r="G7" s="7">
        <v>4627</v>
      </c>
      <c r="I7" s="11" t="s">
        <v>92</v>
      </c>
      <c r="J7" s="12">
        <v>0.86399999999999999</v>
      </c>
      <c r="L7" s="11" t="s">
        <v>92</v>
      </c>
      <c r="M7" s="17">
        <v>1</v>
      </c>
      <c r="O7" t="s">
        <v>199</v>
      </c>
      <c r="P7" s="21" t="s">
        <v>200</v>
      </c>
      <c r="Q7" s="24">
        <v>1</v>
      </c>
      <c r="S7" t="s">
        <v>0</v>
      </c>
      <c r="T7" s="22" t="s">
        <v>216</v>
      </c>
      <c r="U7" s="24">
        <v>1</v>
      </c>
      <c r="AB7" t="s">
        <v>245</v>
      </c>
    </row>
    <row r="8" spans="2:36" ht="31.35" customHeight="1">
      <c r="B8" s="6" t="s">
        <v>102</v>
      </c>
      <c r="C8" s="7">
        <v>481275</v>
      </c>
      <c r="D8" s="7">
        <v>593628</v>
      </c>
      <c r="E8" s="8">
        <v>0.79</v>
      </c>
      <c r="F8" s="7">
        <v>1903</v>
      </c>
      <c r="G8" s="7">
        <v>2407</v>
      </c>
      <c r="I8" s="11" t="s">
        <v>0</v>
      </c>
      <c r="J8" s="13">
        <v>0.85299999999999998</v>
      </c>
      <c r="L8" s="11" t="s">
        <v>0</v>
      </c>
      <c r="M8" s="12">
        <v>0.94399999999999995</v>
      </c>
      <c r="O8" t="s">
        <v>103</v>
      </c>
      <c r="P8" s="21" t="s">
        <v>201</v>
      </c>
      <c r="Q8" s="62">
        <v>0.97519999999999996</v>
      </c>
      <c r="S8" t="s">
        <v>99</v>
      </c>
      <c r="T8" s="22" t="s">
        <v>218</v>
      </c>
      <c r="U8" s="24">
        <v>1</v>
      </c>
      <c r="AB8" t="s">
        <v>246</v>
      </c>
    </row>
    <row r="9" spans="2:36" ht="48" customHeight="1">
      <c r="B9" s="6" t="s">
        <v>94</v>
      </c>
      <c r="C9" s="7">
        <v>432771</v>
      </c>
      <c r="D9" s="7">
        <v>1205231</v>
      </c>
      <c r="E9" s="8">
        <v>0.84</v>
      </c>
      <c r="F9" s="7">
        <v>3250</v>
      </c>
      <c r="G9" s="7">
        <v>3849</v>
      </c>
      <c r="I9" s="11" t="s">
        <v>89</v>
      </c>
      <c r="J9" s="12">
        <v>0.86</v>
      </c>
      <c r="L9" s="11" t="s">
        <v>89</v>
      </c>
      <c r="M9" s="13">
        <v>0.89700000000000002</v>
      </c>
      <c r="O9" t="s">
        <v>83</v>
      </c>
      <c r="P9" s="21" t="s">
        <v>202</v>
      </c>
      <c r="Q9" s="67">
        <v>0.99960000000000004</v>
      </c>
      <c r="S9" t="s">
        <v>184</v>
      </c>
      <c r="T9" s="21" t="s">
        <v>221</v>
      </c>
      <c r="U9" s="24">
        <v>1</v>
      </c>
      <c r="AB9" t="s">
        <v>247</v>
      </c>
    </row>
    <row r="10" spans="2:36" ht="31.35" customHeight="1">
      <c r="B10" s="6" t="s">
        <v>175</v>
      </c>
      <c r="C10" s="8" t="s">
        <v>232</v>
      </c>
      <c r="D10" s="8" t="s">
        <v>232</v>
      </c>
      <c r="E10" s="8" t="s">
        <v>232</v>
      </c>
      <c r="F10" s="8" t="s">
        <v>232</v>
      </c>
      <c r="G10" s="8">
        <v>171</v>
      </c>
      <c r="I10" s="11" t="s">
        <v>94</v>
      </c>
      <c r="J10" s="12">
        <v>0.995</v>
      </c>
      <c r="L10" s="11" t="s">
        <v>94</v>
      </c>
      <c r="M10" s="12">
        <v>0.96599999999999997</v>
      </c>
      <c r="O10" t="s">
        <v>91</v>
      </c>
      <c r="P10" s="21" t="s">
        <v>203</v>
      </c>
      <c r="Q10" s="24">
        <v>1</v>
      </c>
      <c r="S10" t="s">
        <v>28</v>
      </c>
      <c r="T10" s="21" t="s">
        <v>222</v>
      </c>
      <c r="U10" s="30">
        <v>0.99029999999999996</v>
      </c>
    </row>
    <row r="11" spans="2:36">
      <c r="B11" s="6" t="s">
        <v>176</v>
      </c>
      <c r="C11" s="8" t="s">
        <v>232</v>
      </c>
      <c r="D11" s="7">
        <v>98199</v>
      </c>
      <c r="E11" s="8">
        <v>0.74</v>
      </c>
      <c r="F11" s="8">
        <v>180</v>
      </c>
      <c r="G11" s="8">
        <v>242</v>
      </c>
      <c r="I11" s="11" t="s">
        <v>82</v>
      </c>
      <c r="J11" s="12">
        <v>0.83099999999999996</v>
      </c>
      <c r="L11" s="11" t="s">
        <v>82</v>
      </c>
      <c r="M11" s="12">
        <v>0.94299999999999995</v>
      </c>
      <c r="O11" t="s">
        <v>112</v>
      </c>
      <c r="P11" s="21" t="s">
        <v>204</v>
      </c>
      <c r="Q11" s="24">
        <v>1</v>
      </c>
      <c r="S11" t="s">
        <v>96</v>
      </c>
      <c r="T11" s="28" t="s">
        <v>207</v>
      </c>
      <c r="U11" s="30">
        <v>0.99</v>
      </c>
      <c r="AB11" t="s">
        <v>248</v>
      </c>
    </row>
    <row r="12" spans="2:36" ht="14.45" customHeight="1">
      <c r="B12" s="6" t="s">
        <v>177</v>
      </c>
      <c r="C12" s="8" t="s">
        <v>232</v>
      </c>
      <c r="D12" s="8" t="s">
        <v>232</v>
      </c>
      <c r="E12" s="8" t="s">
        <v>232</v>
      </c>
      <c r="F12" s="8" t="s">
        <v>232</v>
      </c>
      <c r="G12" s="8">
        <v>24</v>
      </c>
      <c r="I12" s="14" t="s">
        <v>103</v>
      </c>
      <c r="J12" s="12">
        <v>0.86199999999999999</v>
      </c>
      <c r="L12" s="14" t="s">
        <v>103</v>
      </c>
      <c r="M12" s="12">
        <v>0.94599999999999995</v>
      </c>
      <c r="O12" t="s">
        <v>179</v>
      </c>
      <c r="P12" s="21" t="s">
        <v>205</v>
      </c>
      <c r="Q12" s="24">
        <v>1</v>
      </c>
      <c r="S12" t="s">
        <v>102</v>
      </c>
      <c r="T12" s="22" t="s">
        <v>217</v>
      </c>
      <c r="U12" s="30">
        <v>0.98919999999999997</v>
      </c>
      <c r="AB12" t="s">
        <v>249</v>
      </c>
    </row>
    <row r="13" spans="2:36">
      <c r="B13" s="6" t="s">
        <v>178</v>
      </c>
      <c r="C13" s="8" t="s">
        <v>232</v>
      </c>
      <c r="D13" s="8" t="s">
        <v>232</v>
      </c>
      <c r="E13" s="8" t="s">
        <v>232</v>
      </c>
      <c r="F13" s="8" t="s">
        <v>232</v>
      </c>
      <c r="G13" s="8">
        <v>169</v>
      </c>
      <c r="I13" s="14" t="s">
        <v>96</v>
      </c>
      <c r="J13" s="12">
        <v>0.76400000000000001</v>
      </c>
      <c r="L13" s="14" t="s">
        <v>96</v>
      </c>
      <c r="M13" s="12">
        <v>0.94099999999999995</v>
      </c>
      <c r="O13" t="s">
        <v>92</v>
      </c>
      <c r="P13" s="21" t="s">
        <v>206</v>
      </c>
      <c r="Q13" s="25">
        <v>0.98040000000000005</v>
      </c>
      <c r="S13" t="s">
        <v>97</v>
      </c>
      <c r="T13" s="22" t="s">
        <v>212</v>
      </c>
      <c r="U13" s="61">
        <v>0.97219999999999995</v>
      </c>
    </row>
    <row r="14" spans="2:36">
      <c r="B14" s="6" t="s">
        <v>179</v>
      </c>
      <c r="C14" s="8" t="s">
        <v>232</v>
      </c>
      <c r="D14" s="8" t="s">
        <v>232</v>
      </c>
      <c r="E14" s="8" t="s">
        <v>232</v>
      </c>
      <c r="F14" s="8" t="s">
        <v>232</v>
      </c>
      <c r="G14" s="8">
        <v>73</v>
      </c>
      <c r="I14" s="14" t="s">
        <v>100</v>
      </c>
      <c r="J14" s="12">
        <v>0.76300000000000001</v>
      </c>
      <c r="L14" s="14" t="s">
        <v>100</v>
      </c>
      <c r="M14" s="18">
        <v>0.75</v>
      </c>
      <c r="O14" t="s">
        <v>96</v>
      </c>
      <c r="P14" s="21" t="s">
        <v>207</v>
      </c>
      <c r="Q14" s="68">
        <v>0.95030000000000003</v>
      </c>
      <c r="S14" t="s">
        <v>94</v>
      </c>
      <c r="T14" s="21" t="s">
        <v>223</v>
      </c>
      <c r="U14" s="25">
        <v>0.96430000000000005</v>
      </c>
    </row>
    <row r="15" spans="2:36">
      <c r="B15" s="6" t="s">
        <v>181</v>
      </c>
      <c r="C15" s="8" t="s">
        <v>232</v>
      </c>
      <c r="D15" s="8" t="s">
        <v>232</v>
      </c>
      <c r="E15" s="8" t="s">
        <v>232</v>
      </c>
      <c r="F15" s="8" t="s">
        <v>232</v>
      </c>
      <c r="G15" s="8">
        <v>76</v>
      </c>
      <c r="I15" s="14" t="s">
        <v>97</v>
      </c>
      <c r="J15" s="13">
        <v>0.51400000000000001</v>
      </c>
      <c r="L15" s="14" t="s">
        <v>97</v>
      </c>
      <c r="M15" s="17">
        <v>1</v>
      </c>
      <c r="O15" t="s">
        <v>181</v>
      </c>
      <c r="P15" s="21" t="s">
        <v>208</v>
      </c>
      <c r="Q15" s="24">
        <v>1</v>
      </c>
      <c r="S15" t="s">
        <v>92</v>
      </c>
      <c r="T15" s="22" t="s">
        <v>206</v>
      </c>
      <c r="U15" s="62">
        <v>0.95620000000000005</v>
      </c>
    </row>
    <row r="16" spans="2:36">
      <c r="B16" s="6" t="s">
        <v>182</v>
      </c>
      <c r="C16" s="8" t="s">
        <v>232</v>
      </c>
      <c r="D16" s="8" t="s">
        <v>232</v>
      </c>
      <c r="E16" s="8" t="s">
        <v>232</v>
      </c>
      <c r="F16" s="8" t="s">
        <v>232</v>
      </c>
      <c r="G16" s="8">
        <v>147</v>
      </c>
      <c r="I16" s="14" t="s">
        <v>98</v>
      </c>
      <c r="J16" s="13">
        <v>0.60199999999999998</v>
      </c>
      <c r="L16" s="14" t="s">
        <v>98</v>
      </c>
      <c r="M16" s="12">
        <v>0.94099999999999995</v>
      </c>
      <c r="O16" t="s">
        <v>100</v>
      </c>
      <c r="P16" s="21" t="s">
        <v>209</v>
      </c>
      <c r="Q16" s="24">
        <v>1</v>
      </c>
      <c r="S16" t="s">
        <v>103</v>
      </c>
      <c r="T16" s="22" t="s">
        <v>201</v>
      </c>
      <c r="U16" s="62">
        <v>0.95520000000000005</v>
      </c>
    </row>
    <row r="17" spans="2:21">
      <c r="B17" s="6" t="s">
        <v>183</v>
      </c>
      <c r="C17" s="8" t="s">
        <v>232</v>
      </c>
      <c r="D17" s="7">
        <v>209413</v>
      </c>
      <c r="E17" s="8">
        <v>1.19</v>
      </c>
      <c r="F17" s="8">
        <v>531</v>
      </c>
      <c r="G17" s="8">
        <v>447</v>
      </c>
      <c r="I17" s="14" t="s">
        <v>102</v>
      </c>
      <c r="J17" s="12">
        <v>0.90900000000000003</v>
      </c>
      <c r="L17" s="14" t="s">
        <v>102</v>
      </c>
      <c r="M17" s="12">
        <v>0.92600000000000005</v>
      </c>
      <c r="O17" t="s">
        <v>182</v>
      </c>
      <c r="P17" s="21" t="s">
        <v>210</v>
      </c>
      <c r="Q17" s="24">
        <v>1</v>
      </c>
      <c r="S17" t="s">
        <v>100</v>
      </c>
      <c r="T17" s="22" t="s">
        <v>209</v>
      </c>
      <c r="U17" s="62">
        <v>0.95469999999999999</v>
      </c>
    </row>
    <row r="18" spans="2:21">
      <c r="B18" s="6" t="s">
        <v>184</v>
      </c>
      <c r="C18" s="8" t="s">
        <v>232</v>
      </c>
      <c r="D18" s="8" t="s">
        <v>232</v>
      </c>
      <c r="E18" s="8" t="s">
        <v>232</v>
      </c>
      <c r="F18" s="8" t="s">
        <v>232</v>
      </c>
      <c r="G18" s="8">
        <v>118</v>
      </c>
      <c r="I18" s="14" t="s">
        <v>99</v>
      </c>
      <c r="J18" s="12">
        <v>0.79100000000000004</v>
      </c>
      <c r="L18" s="14" t="s">
        <v>99</v>
      </c>
      <c r="M18" s="12">
        <v>0.91900000000000004</v>
      </c>
      <c r="O18" t="s">
        <v>97</v>
      </c>
      <c r="P18" s="21" t="s">
        <v>212</v>
      </c>
      <c r="Q18" s="24">
        <v>1</v>
      </c>
      <c r="S18" t="s">
        <v>98</v>
      </c>
      <c r="T18" s="22" t="s">
        <v>215</v>
      </c>
      <c r="U18" s="63">
        <v>0.90680000000000005</v>
      </c>
    </row>
    <row r="19" spans="2:21">
      <c r="B19" s="6" t="s">
        <v>185</v>
      </c>
      <c r="C19" s="8" t="s">
        <v>232</v>
      </c>
      <c r="D19" s="8" t="s">
        <v>232</v>
      </c>
      <c r="E19" s="8" t="s">
        <v>232</v>
      </c>
      <c r="F19" s="8" t="s">
        <v>232</v>
      </c>
      <c r="G19" s="8">
        <v>61</v>
      </c>
      <c r="I19" s="14" t="s">
        <v>28</v>
      </c>
      <c r="J19" s="13">
        <v>0.55000000000000004</v>
      </c>
      <c r="L19" s="14" t="s">
        <v>28</v>
      </c>
      <c r="M19" s="17">
        <v>0.92</v>
      </c>
      <c r="O19" t="s">
        <v>183</v>
      </c>
      <c r="P19" s="21" t="s">
        <v>213</v>
      </c>
      <c r="Q19" s="69">
        <v>0.875</v>
      </c>
      <c r="S19" t="s">
        <v>110</v>
      </c>
      <c r="T19" s="22" t="s">
        <v>195</v>
      </c>
      <c r="U19" s="31">
        <v>0.83779999999999999</v>
      </c>
    </row>
    <row r="20" spans="2:21" ht="15.75" thickBot="1">
      <c r="B20" s="6" t="s">
        <v>186</v>
      </c>
      <c r="C20" s="8" t="s">
        <v>232</v>
      </c>
      <c r="D20" s="7">
        <v>61688</v>
      </c>
      <c r="E20" s="8">
        <v>0.89</v>
      </c>
      <c r="F20" s="8">
        <v>83</v>
      </c>
      <c r="G20" s="8">
        <v>94</v>
      </c>
      <c r="I20" s="14" t="s">
        <v>95</v>
      </c>
      <c r="J20" s="15">
        <v>0.751</v>
      </c>
      <c r="L20" s="14" t="s">
        <v>95</v>
      </c>
      <c r="M20" s="19">
        <v>0.93799999999999994</v>
      </c>
      <c r="O20" t="s">
        <v>98</v>
      </c>
      <c r="P20" s="21" t="s">
        <v>215</v>
      </c>
      <c r="Q20" s="24">
        <v>1</v>
      </c>
      <c r="S20" t="s">
        <v>83</v>
      </c>
      <c r="T20" s="22" t="s">
        <v>202</v>
      </c>
      <c r="U20" s="64">
        <v>0.83689999999999998</v>
      </c>
    </row>
    <row r="21" spans="2:21">
      <c r="B21" s="6" t="s">
        <v>188</v>
      </c>
      <c r="C21" s="8" t="s">
        <v>232</v>
      </c>
      <c r="D21" s="7">
        <v>83292</v>
      </c>
      <c r="E21" s="8" t="s">
        <v>232</v>
      </c>
      <c r="F21" s="8" t="s">
        <v>232</v>
      </c>
      <c r="G21" s="8">
        <v>37</v>
      </c>
      <c r="O21" t="s">
        <v>89</v>
      </c>
      <c r="P21" s="21" t="s">
        <v>214</v>
      </c>
      <c r="Q21" s="38">
        <v>0.96299999999999997</v>
      </c>
      <c r="S21" t="s">
        <v>181</v>
      </c>
      <c r="T21" s="22" t="s">
        <v>208</v>
      </c>
      <c r="U21" s="32">
        <v>0.71540000000000004</v>
      </c>
    </row>
    <row r="22" spans="2:21">
      <c r="B22" s="6" t="s">
        <v>28</v>
      </c>
      <c r="C22" s="7">
        <v>1858</v>
      </c>
      <c r="D22" s="8" t="s">
        <v>232</v>
      </c>
      <c r="E22" s="8" t="s">
        <v>232</v>
      </c>
      <c r="F22" s="8" t="s">
        <v>232</v>
      </c>
      <c r="G22" s="7">
        <v>2096</v>
      </c>
      <c r="J22" s="44" t="s">
        <v>25</v>
      </c>
      <c r="K22" s="44" t="s">
        <v>250</v>
      </c>
      <c r="L22" s="48" t="s">
        <v>227</v>
      </c>
      <c r="M22" t="s">
        <v>26</v>
      </c>
      <c r="O22" t="s">
        <v>0</v>
      </c>
      <c r="P22" s="21" t="s">
        <v>216</v>
      </c>
      <c r="Q22" s="24">
        <v>1</v>
      </c>
      <c r="S22" t="s">
        <v>183</v>
      </c>
      <c r="T22" s="22" t="s">
        <v>213</v>
      </c>
      <c r="U22" s="65">
        <v>0.56520000000000004</v>
      </c>
    </row>
    <row r="23" spans="2:21">
      <c r="B23" s="6" t="s">
        <v>0</v>
      </c>
      <c r="C23" s="7">
        <v>506676</v>
      </c>
      <c r="D23" s="7">
        <v>2184141</v>
      </c>
      <c r="E23" s="8">
        <v>0.8</v>
      </c>
      <c r="F23" s="7">
        <v>5330</v>
      </c>
      <c r="G23" s="7">
        <v>6631</v>
      </c>
      <c r="I23" s="47" t="s">
        <v>106</v>
      </c>
      <c r="J23" s="44"/>
      <c r="K23" s="44">
        <f>SUM(K24:K27)</f>
        <v>794</v>
      </c>
      <c r="L23" s="44">
        <f>SUM(L24:L27)</f>
        <v>820</v>
      </c>
      <c r="M23" s="49">
        <f>K23/L23</f>
        <v>0.96829268292682924</v>
      </c>
      <c r="O23" t="s">
        <v>102</v>
      </c>
      <c r="P23" s="21" t="s">
        <v>217</v>
      </c>
      <c r="Q23" s="70">
        <v>0.91300000000000003</v>
      </c>
      <c r="S23" t="s">
        <v>111</v>
      </c>
      <c r="T23" s="22" t="s">
        <v>198</v>
      </c>
      <c r="U23" s="66">
        <v>0.51219999999999999</v>
      </c>
    </row>
    <row r="24" spans="2:21">
      <c r="B24" s="5" t="s">
        <v>100</v>
      </c>
      <c r="C24" s="7">
        <v>499840</v>
      </c>
      <c r="D24" s="7">
        <v>1259558</v>
      </c>
      <c r="E24" s="8">
        <v>1.36</v>
      </c>
      <c r="F24" s="7">
        <v>3548</v>
      </c>
      <c r="G24" s="7">
        <v>2618</v>
      </c>
      <c r="I24" s="47" t="s">
        <v>183</v>
      </c>
      <c r="J24" s="44" t="str">
        <f>VLOOKUP(I24,$B$3:$G$34,$C$2,FALSE)</f>
        <v xml:space="preserve"> -   </v>
      </c>
      <c r="K24" s="44">
        <f>VLOOKUP(I24,$B$3:$G$34,$F$2,FALSE)</f>
        <v>531</v>
      </c>
      <c r="L24" s="44">
        <f>VLOOKUP(I24,$B$3:$G$34,$G$2,FALSE)</f>
        <v>447</v>
      </c>
      <c r="O24" t="s">
        <v>99</v>
      </c>
      <c r="P24" s="21" t="s">
        <v>218</v>
      </c>
      <c r="Q24" s="24">
        <v>1</v>
      </c>
      <c r="S24" t="s">
        <v>175</v>
      </c>
      <c r="T24" s="22" t="s">
        <v>194</v>
      </c>
      <c r="U24" s="33">
        <v>0.47499999999999998</v>
      </c>
    </row>
    <row r="25" spans="2:21">
      <c r="B25" s="5" t="s">
        <v>96</v>
      </c>
      <c r="C25" s="7">
        <v>298187</v>
      </c>
      <c r="D25" s="7">
        <v>1037841</v>
      </c>
      <c r="E25" s="8">
        <v>0.91</v>
      </c>
      <c r="F25" s="7">
        <v>2414</v>
      </c>
      <c r="G25" s="7">
        <v>2664</v>
      </c>
      <c r="I25" s="47" t="s">
        <v>176</v>
      </c>
      <c r="J25" s="44" t="str">
        <f t="shared" ref="J25:J26" si="0">VLOOKUP(I25,$B$3:$G$34,$C$2,FALSE)</f>
        <v xml:space="preserve"> -   </v>
      </c>
      <c r="K25" s="44">
        <f t="shared" ref="K25:K27" si="1">VLOOKUP(I25,$B$3:$G$34,$F$2,FALSE)</f>
        <v>180</v>
      </c>
      <c r="L25" s="44">
        <f t="shared" ref="L25:L27" si="2">VLOOKUP(I25,$B$3:$G$34,$G$2,FALSE)</f>
        <v>242</v>
      </c>
      <c r="O25" t="s">
        <v>185</v>
      </c>
      <c r="P25" s="21" t="s">
        <v>219</v>
      </c>
      <c r="Q25" s="71">
        <v>0.6</v>
      </c>
      <c r="S25" t="s">
        <v>178</v>
      </c>
      <c r="T25" s="22" t="s">
        <v>196</v>
      </c>
      <c r="U25" s="34">
        <v>0.3463</v>
      </c>
    </row>
    <row r="26" spans="2:21">
      <c r="B26" s="5" t="s">
        <v>97</v>
      </c>
      <c r="C26" s="7">
        <v>408678</v>
      </c>
      <c r="D26" s="7">
        <v>1305563</v>
      </c>
      <c r="E26" s="8">
        <v>1.17</v>
      </c>
      <c r="F26" s="7">
        <v>3447</v>
      </c>
      <c r="G26" s="7">
        <v>2949</v>
      </c>
      <c r="I26" s="47" t="s">
        <v>186</v>
      </c>
      <c r="J26" s="44" t="str">
        <f t="shared" si="0"/>
        <v xml:space="preserve"> -   </v>
      </c>
      <c r="K26" s="44">
        <f t="shared" si="1"/>
        <v>83</v>
      </c>
      <c r="L26" s="44">
        <f t="shared" si="2"/>
        <v>94</v>
      </c>
      <c r="O26" t="s">
        <v>186</v>
      </c>
      <c r="P26" s="21" t="s">
        <v>220</v>
      </c>
      <c r="Q26" s="24">
        <v>1</v>
      </c>
      <c r="S26" t="s">
        <v>185</v>
      </c>
      <c r="T26" s="22" t="s">
        <v>219</v>
      </c>
      <c r="U26" s="35">
        <v>0.28599999999999998</v>
      </c>
    </row>
    <row r="27" spans="2:21">
      <c r="B27" s="5" t="s">
        <v>98</v>
      </c>
      <c r="C27" s="7">
        <v>124700</v>
      </c>
      <c r="D27" s="7">
        <v>596656</v>
      </c>
      <c r="E27" s="8">
        <v>1.05</v>
      </c>
      <c r="F27" s="7">
        <v>1247</v>
      </c>
      <c r="G27" s="7">
        <v>1187</v>
      </c>
      <c r="I27" s="47" t="s">
        <v>188</v>
      </c>
      <c r="J27" s="44" t="str">
        <f>VLOOKUP(I27,$B$3:$G$34,$C$2,FALSE)</f>
        <v xml:space="preserve"> -   </v>
      </c>
      <c r="K27" s="44" t="str">
        <f t="shared" si="1"/>
        <v xml:space="preserve"> -   </v>
      </c>
      <c r="L27" s="44">
        <f t="shared" si="2"/>
        <v>37</v>
      </c>
      <c r="O27" t="s">
        <v>184</v>
      </c>
      <c r="P27" s="21" t="s">
        <v>221</v>
      </c>
      <c r="Q27" s="24">
        <v>1</v>
      </c>
      <c r="S27" t="s">
        <v>186</v>
      </c>
      <c r="T27" s="21" t="s">
        <v>220</v>
      </c>
      <c r="U27" s="36">
        <v>0.20810000000000001</v>
      </c>
    </row>
    <row r="28" spans="2:21">
      <c r="B28" s="6" t="s">
        <v>110</v>
      </c>
      <c r="C28" s="7">
        <v>46878</v>
      </c>
      <c r="D28" s="8" t="s">
        <v>232</v>
      </c>
      <c r="E28" s="8" t="s">
        <v>232</v>
      </c>
      <c r="F28" s="8" t="s">
        <v>232</v>
      </c>
      <c r="G28" s="8">
        <v>317</v>
      </c>
      <c r="O28" t="s">
        <v>28</v>
      </c>
      <c r="P28" s="21" t="s">
        <v>222</v>
      </c>
      <c r="Q28" s="26">
        <v>0.93330000000000002</v>
      </c>
      <c r="S28" t="s">
        <v>176</v>
      </c>
      <c r="T28" s="22" t="s">
        <v>197</v>
      </c>
      <c r="U28" s="37">
        <v>0.1173</v>
      </c>
    </row>
    <row r="29" spans="2:21">
      <c r="B29" s="6" t="s">
        <v>111</v>
      </c>
      <c r="C29" s="7">
        <v>13392</v>
      </c>
      <c r="D29" s="8" t="s">
        <v>232</v>
      </c>
      <c r="E29" s="8" t="s">
        <v>232</v>
      </c>
      <c r="F29" s="8" t="s">
        <v>232</v>
      </c>
      <c r="G29" s="8">
        <v>76</v>
      </c>
      <c r="O29" t="s">
        <v>94</v>
      </c>
      <c r="P29" s="21" t="s">
        <v>223</v>
      </c>
      <c r="Q29" s="72">
        <v>0.97850000000000004</v>
      </c>
      <c r="S29" t="s">
        <v>109</v>
      </c>
      <c r="T29" s="21" t="s">
        <v>211</v>
      </c>
      <c r="U29" s="27">
        <v>3.5000000000000001E-3</v>
      </c>
    </row>
    <row r="30" spans="2:21">
      <c r="B30" s="6" t="s">
        <v>112</v>
      </c>
      <c r="C30" s="7">
        <v>69691</v>
      </c>
      <c r="D30" s="8" t="s">
        <v>232</v>
      </c>
      <c r="E30" s="8" t="s">
        <v>232</v>
      </c>
      <c r="F30" s="8" t="s">
        <v>232</v>
      </c>
      <c r="G30" s="8">
        <v>373</v>
      </c>
      <c r="O30" t="s">
        <v>106</v>
      </c>
      <c r="P30" s="23" t="s">
        <v>251</v>
      </c>
      <c r="Q30" s="58">
        <v>0.6</v>
      </c>
      <c r="S30" t="s">
        <v>106</v>
      </c>
      <c r="T30" s="21" t="s">
        <v>106</v>
      </c>
      <c r="U30" s="59">
        <v>0.3</v>
      </c>
    </row>
    <row r="31" spans="2:21">
      <c r="B31" s="6" t="s">
        <v>99</v>
      </c>
      <c r="C31" s="7">
        <v>592883</v>
      </c>
      <c r="D31" s="7">
        <v>600187</v>
      </c>
      <c r="E31" s="8">
        <v>0.66</v>
      </c>
      <c r="F31" s="7">
        <v>2045</v>
      </c>
      <c r="G31" s="7">
        <v>3080</v>
      </c>
      <c r="O31" t="s">
        <v>189</v>
      </c>
      <c r="P31" s="23" t="s">
        <v>252</v>
      </c>
      <c r="Q31" s="58">
        <v>0.9</v>
      </c>
      <c r="S31" t="s">
        <v>189</v>
      </c>
      <c r="T31" s="21" t="s">
        <v>105</v>
      </c>
      <c r="U31" s="60">
        <v>0.79</v>
      </c>
    </row>
    <row r="32" spans="2:21">
      <c r="B32" s="6" t="s">
        <v>109</v>
      </c>
      <c r="C32" s="7">
        <v>26350</v>
      </c>
      <c r="D32" s="8" t="s">
        <v>232</v>
      </c>
      <c r="E32" s="8" t="s">
        <v>232</v>
      </c>
      <c r="F32" s="8" t="s">
        <v>232</v>
      </c>
      <c r="G32" s="8">
        <v>515</v>
      </c>
      <c r="S32" t="s">
        <v>89</v>
      </c>
      <c r="T32" s="23" t="s">
        <v>253</v>
      </c>
      <c r="U32" s="29">
        <v>1</v>
      </c>
    </row>
    <row r="33" spans="2:17">
      <c r="B33" s="6" t="s">
        <v>89</v>
      </c>
      <c r="C33" s="7">
        <v>452099</v>
      </c>
      <c r="D33" s="8" t="s">
        <v>232</v>
      </c>
      <c r="E33" s="8">
        <v>0.85</v>
      </c>
      <c r="F33" s="7">
        <v>11752</v>
      </c>
      <c r="G33" s="7">
        <v>13830</v>
      </c>
      <c r="Q33" s="45">
        <f>Q3+Q5+Q7+Q12+Q15+Q17+Q25+Q27+Q28</f>
        <v>8.5333000000000006</v>
      </c>
    </row>
    <row r="34" spans="2:17">
      <c r="B34" s="6" t="s">
        <v>91</v>
      </c>
      <c r="C34" s="7">
        <v>1159419</v>
      </c>
      <c r="D34" s="7">
        <v>2035098</v>
      </c>
      <c r="E34" s="8">
        <v>1.32</v>
      </c>
      <c r="F34" s="7">
        <v>9352</v>
      </c>
      <c r="G34" s="7">
        <v>7100</v>
      </c>
      <c r="Q34" s="92">
        <f>Q33/9</f>
        <v>0.94814444444444446</v>
      </c>
    </row>
    <row r="37" spans="2:17">
      <c r="B37">
        <v>1</v>
      </c>
      <c r="C37" s="41">
        <v>2</v>
      </c>
      <c r="D37">
        <v>3</v>
      </c>
    </row>
    <row r="38" spans="2:17">
      <c r="B38" t="s">
        <v>127</v>
      </c>
      <c r="C38" t="s">
        <v>128</v>
      </c>
      <c r="D38" t="s">
        <v>129</v>
      </c>
    </row>
    <row r="39" spans="2:17">
      <c r="B39" t="s">
        <v>92</v>
      </c>
      <c r="C39" s="3">
        <v>0.24889975550122248</v>
      </c>
      <c r="D39" s="3">
        <v>0.3310513447432763</v>
      </c>
      <c r="H39" s="4"/>
    </row>
    <row r="40" spans="2:17">
      <c r="B40" t="s">
        <v>91</v>
      </c>
      <c r="C40" s="3">
        <v>0.28313989004276113</v>
      </c>
      <c r="D40" s="3">
        <v>0.33200977397678683</v>
      </c>
      <c r="H40" s="4"/>
    </row>
    <row r="41" spans="2:17">
      <c r="B41" t="s">
        <v>94</v>
      </c>
      <c r="C41" s="3">
        <v>0.33396356136129252</v>
      </c>
      <c r="D41" s="3">
        <v>0.36232382261945684</v>
      </c>
      <c r="H41" s="4"/>
    </row>
    <row r="42" spans="2:17">
      <c r="B42" t="s">
        <v>83</v>
      </c>
      <c r="C42" s="3">
        <v>0.44412244158666908</v>
      </c>
      <c r="D42" s="3">
        <v>0.48215902916138381</v>
      </c>
      <c r="H42" s="4"/>
    </row>
    <row r="43" spans="2:17">
      <c r="B43" t="s">
        <v>89</v>
      </c>
      <c r="C43" s="3">
        <v>0.30936663693131133</v>
      </c>
      <c r="D43" s="3">
        <v>0.32132024977698481</v>
      </c>
      <c r="H43" s="4"/>
    </row>
    <row r="44" spans="2:17">
      <c r="B44" t="s">
        <v>0</v>
      </c>
      <c r="C44" s="3">
        <v>0.4647739221871714</v>
      </c>
      <c r="D44" s="3">
        <v>0.52050473186119872</v>
      </c>
      <c r="H44" s="4"/>
    </row>
    <row r="45" spans="2:17" ht="15.75" thickBot="1">
      <c r="B45" t="s">
        <v>103</v>
      </c>
      <c r="C45" s="3">
        <v>0.48456790123456789</v>
      </c>
      <c r="D45" s="3">
        <v>0.49382716049382713</v>
      </c>
      <c r="H45" s="42"/>
    </row>
    <row r="46" spans="2:17">
      <c r="B46" t="s">
        <v>102</v>
      </c>
      <c r="C46" s="3">
        <v>0.49266862170087977</v>
      </c>
      <c r="D46" s="3">
        <v>0.52785923753665687</v>
      </c>
      <c r="H46" s="4"/>
    </row>
    <row r="47" spans="2:17">
      <c r="B47" t="s">
        <v>98</v>
      </c>
      <c r="C47" s="3">
        <v>0.43564356435643564</v>
      </c>
      <c r="D47" s="3">
        <v>0.44554455445544555</v>
      </c>
      <c r="H47" s="4"/>
    </row>
    <row r="48" spans="2:17">
      <c r="B48" t="s">
        <v>96</v>
      </c>
      <c r="C48" s="3">
        <v>0.36853002070393376</v>
      </c>
      <c r="D48" s="3">
        <v>0.41614906832298137</v>
      </c>
      <c r="H48" s="4"/>
    </row>
    <row r="49" spans="2:8">
      <c r="B49" t="s">
        <v>100</v>
      </c>
      <c r="C49" s="3">
        <v>0.21411764705882352</v>
      </c>
      <c r="D49" s="3">
        <v>0.22823529411764706</v>
      </c>
      <c r="H49" s="4"/>
    </row>
    <row r="50" spans="2:8">
      <c r="B50" t="s">
        <v>99</v>
      </c>
      <c r="C50" s="3">
        <v>0.59826589595375723</v>
      </c>
      <c r="D50" s="3">
        <v>0.60838150289017345</v>
      </c>
      <c r="H50" s="4"/>
    </row>
    <row r="51" spans="2:8">
      <c r="B51" t="s">
        <v>97</v>
      </c>
      <c r="C51" s="3">
        <v>0.38646288209606988</v>
      </c>
      <c r="D51" s="3">
        <v>0.40393013100436681</v>
      </c>
      <c r="H51" s="57"/>
    </row>
    <row r="52" spans="2:8">
      <c r="B52" t="s">
        <v>28</v>
      </c>
      <c r="C52" s="3">
        <v>0.11671087533156499</v>
      </c>
      <c r="D52" s="3">
        <v>0.17771883289124668</v>
      </c>
    </row>
    <row r="70" spans="3:21">
      <c r="C70">
        <v>1</v>
      </c>
      <c r="D70">
        <v>2</v>
      </c>
      <c r="E70">
        <v>3</v>
      </c>
    </row>
    <row r="71" spans="3:21">
      <c r="C71" s="1" t="s">
        <v>96</v>
      </c>
      <c r="D71" s="85">
        <f>Data!BE10</f>
        <v>0.63988560967862951</v>
      </c>
      <c r="E71" s="46">
        <f>100%-D71</f>
        <v>0.36011439032137049</v>
      </c>
    </row>
    <row r="72" spans="3:21">
      <c r="C72" s="1" t="s">
        <v>97</v>
      </c>
      <c r="D72" s="85">
        <f>Data!BE11</f>
        <v>0.66980133833672806</v>
      </c>
      <c r="E72" s="46">
        <f t="shared" ref="E72:E73" si="3">100%-D72</f>
        <v>0.33019866166327194</v>
      </c>
    </row>
    <row r="73" spans="3:21">
      <c r="C73" s="1" t="s">
        <v>98</v>
      </c>
      <c r="D73" s="85">
        <f>Data!BE12</f>
        <v>0.62440949534513046</v>
      </c>
      <c r="E73" s="46">
        <f t="shared" si="3"/>
        <v>0.37559050465486954</v>
      </c>
    </row>
    <row r="76" spans="3:21">
      <c r="C76" s="91" t="s">
        <v>98</v>
      </c>
      <c r="D76" s="90">
        <f>VLOOKUP(C76,$C$71:$E$73,$D$70)</f>
        <v>0.62440949534513046</v>
      </c>
      <c r="E76" s="46">
        <f>100%-D76</f>
        <v>0.37559050465486954</v>
      </c>
      <c r="R76" t="s">
        <v>254</v>
      </c>
      <c r="S76" t="s">
        <v>255</v>
      </c>
    </row>
    <row r="77" spans="3:21">
      <c r="Q77" t="s">
        <v>28</v>
      </c>
      <c r="R77" s="89">
        <v>0.5262599469496021</v>
      </c>
      <c r="S77" s="102">
        <v>0.28912466843501328</v>
      </c>
      <c r="T77" s="46">
        <f>S77/R77</f>
        <v>0.54939516129032262</v>
      </c>
      <c r="U77" s="46">
        <f>100%-T77</f>
        <v>0.45060483870967738</v>
      </c>
    </row>
    <row r="78" spans="3:21">
      <c r="Q78" t="s">
        <v>29</v>
      </c>
      <c r="R78" s="89">
        <v>0.58533834586466171</v>
      </c>
      <c r="S78" s="102">
        <v>7.5187969924812026E-3</v>
      </c>
      <c r="T78" s="46">
        <f>S78/R78</f>
        <v>1.2845215157353884E-2</v>
      </c>
      <c r="U78" s="46">
        <f>100%-T78</f>
        <v>0.98715478484264607</v>
      </c>
    </row>
  </sheetData>
  <mergeCells count="6">
    <mergeCell ref="G3:G4"/>
    <mergeCell ref="B3:B4"/>
    <mergeCell ref="C3:C4"/>
    <mergeCell ref="D3:D4"/>
    <mergeCell ref="E3:E4"/>
    <mergeCell ref="F3:F4"/>
  </mergeCells>
  <dataValidations count="1">
    <dataValidation type="list" allowBlank="1" showInputMessage="1" showErrorMessage="1" sqref="C76" xr:uid="{1B8D8D30-0858-4413-BE1F-1694D36C3D54}">
      <formula1>$C$71:$C$73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803E-283F-45C4-AB10-B0C6FF36EAD1}">
  <sheetPr codeName="Hoja7"/>
  <dimension ref="B2:V91"/>
  <sheetViews>
    <sheetView showGridLines="0" topLeftCell="A65" zoomScale="102" workbookViewId="0">
      <selection activeCell="G84" sqref="G84"/>
    </sheetView>
  </sheetViews>
  <sheetFormatPr baseColWidth="10" defaultColWidth="8.85546875" defaultRowHeight="15"/>
  <cols>
    <col min="1" max="1" width="6.42578125" style="94" customWidth="1"/>
    <col min="2" max="2" width="14.42578125" style="94" customWidth="1"/>
    <col min="3" max="20" width="8.85546875" style="94"/>
    <col min="21" max="21" width="9.140625" style="94" customWidth="1"/>
    <col min="22" max="24" width="8.85546875" style="94"/>
    <col min="25" max="25" width="9.42578125" style="94" customWidth="1"/>
    <col min="26" max="16384" width="8.85546875" style="94"/>
  </cols>
  <sheetData>
    <row r="2" spans="2:22" ht="28.7" customHeight="1">
      <c r="B2" s="97" t="s">
        <v>99</v>
      </c>
    </row>
    <row r="3" spans="2:22" ht="10.35" customHeight="1" thickBot="1">
      <c r="B3" s="95"/>
      <c r="C3" s="95"/>
      <c r="D3" s="95"/>
      <c r="E3" s="95"/>
      <c r="F3" s="95"/>
      <c r="G3" s="95"/>
      <c r="H3" s="95"/>
      <c r="I3" s="95"/>
      <c r="J3" s="95"/>
      <c r="K3" s="95"/>
      <c r="L3" s="95"/>
      <c r="M3" s="95"/>
      <c r="N3" s="95"/>
      <c r="O3" s="95"/>
      <c r="P3" s="95"/>
      <c r="Q3" s="95"/>
      <c r="R3" s="95"/>
      <c r="S3" s="95"/>
      <c r="T3" s="95"/>
      <c r="U3" s="96"/>
      <c r="V3" s="96"/>
    </row>
    <row r="4" spans="2:22" ht="15.75" thickBot="1">
      <c r="B4"/>
      <c r="C4"/>
      <c r="D4"/>
      <c r="E4"/>
      <c r="F4"/>
      <c r="G4"/>
      <c r="H4"/>
      <c r="I4"/>
      <c r="J4"/>
      <c r="K4"/>
      <c r="L4"/>
      <c r="M4"/>
      <c r="N4"/>
      <c r="O4"/>
      <c r="P4"/>
      <c r="Q4"/>
      <c r="R4"/>
      <c r="S4"/>
      <c r="T4"/>
    </row>
    <row r="5" spans="2:22" ht="15.75" thickBot="1">
      <c r="B5" s="113">
        <v>1</v>
      </c>
      <c r="C5" s="113">
        <v>2</v>
      </c>
      <c r="D5" s="113">
        <v>3</v>
      </c>
      <c r="F5"/>
      <c r="G5"/>
      <c r="H5"/>
      <c r="I5"/>
      <c r="J5"/>
      <c r="K5"/>
      <c r="L5"/>
      <c r="M5"/>
      <c r="N5"/>
      <c r="O5"/>
      <c r="P5"/>
      <c r="Q5"/>
      <c r="R5" s="109" t="s">
        <v>132</v>
      </c>
      <c r="S5" s="110">
        <f>VLOOKUP(R5,$B$7:$D$16,C5,FALSE)</f>
        <v>0.7</v>
      </c>
      <c r="T5" s="110">
        <f>VLOOKUP(R5,$B$7:$D$16,D5,FALSE)</f>
        <v>0.79</v>
      </c>
      <c r="U5" s="111">
        <f>T5/S5</f>
        <v>1.1285714285714288</v>
      </c>
      <c r="V5" s="112">
        <f>IF(U5&gt;=100%,0%,100%-U5)</f>
        <v>0</v>
      </c>
    </row>
    <row r="6" spans="2:22" ht="18.75">
      <c r="B6" s="347" t="s">
        <v>6</v>
      </c>
      <c r="C6" s="348"/>
      <c r="D6" s="349"/>
      <c r="F6"/>
      <c r="G6"/>
      <c r="H6"/>
      <c r="I6"/>
      <c r="J6"/>
      <c r="K6"/>
      <c r="L6"/>
      <c r="M6"/>
      <c r="N6"/>
      <c r="O6"/>
      <c r="P6"/>
      <c r="Q6"/>
      <c r="R6"/>
      <c r="S6"/>
      <c r="T6"/>
    </row>
    <row r="7" spans="2:22">
      <c r="B7" s="106" t="s">
        <v>256</v>
      </c>
      <c r="C7" s="107" t="s">
        <v>1</v>
      </c>
      <c r="D7" s="108" t="s">
        <v>2</v>
      </c>
      <c r="F7"/>
      <c r="G7"/>
      <c r="H7"/>
      <c r="I7"/>
      <c r="J7"/>
      <c r="K7"/>
      <c r="L7"/>
      <c r="M7"/>
      <c r="N7"/>
      <c r="O7"/>
      <c r="P7"/>
      <c r="Q7"/>
      <c r="R7"/>
      <c r="S7"/>
      <c r="T7"/>
    </row>
    <row r="8" spans="2:22">
      <c r="B8" s="101" t="s">
        <v>131</v>
      </c>
      <c r="C8" s="81">
        <f>VLOOKUP(B2,Data!$C$3:$BE$22,Data!D2,FALSE)</f>
        <v>0.7</v>
      </c>
      <c r="D8" s="125">
        <f>VLOOKUP(B2,WB!$C$77:$T$92,WB!D76,FALSE)</f>
        <v>0.80400000000000005</v>
      </c>
    </row>
    <row r="9" spans="2:22">
      <c r="B9" s="101" t="s">
        <v>132</v>
      </c>
      <c r="C9" s="81">
        <f>C8</f>
        <v>0.7</v>
      </c>
      <c r="D9" s="125">
        <f>VLOOKUP($B$2,WB!$C$77:$T$92,WB!F76,FALSE)</f>
        <v>0.79</v>
      </c>
    </row>
    <row r="10" spans="2:22">
      <c r="B10" s="101" t="s">
        <v>133</v>
      </c>
      <c r="C10" s="81">
        <f t="shared" ref="C10:C16" si="0">C9</f>
        <v>0.7</v>
      </c>
      <c r="D10" s="125">
        <f>VLOOKUP($B$2,WB!$C$77:$T$92,WB!H76,FALSE)</f>
        <v>0.76100000000000001</v>
      </c>
    </row>
    <row r="11" spans="2:22">
      <c r="B11" s="101" t="s">
        <v>134</v>
      </c>
      <c r="C11" s="81">
        <f t="shared" si="0"/>
        <v>0.7</v>
      </c>
      <c r="D11" s="125">
        <f>VLOOKUP($B$2,WB!$C$77:$T$92,WB!J76,FALSE)</f>
        <v>0.76300000000000001</v>
      </c>
    </row>
    <row r="12" spans="2:22">
      <c r="B12" s="101" t="s">
        <v>135</v>
      </c>
      <c r="C12" s="81">
        <f t="shared" si="0"/>
        <v>0.7</v>
      </c>
      <c r="D12" s="125">
        <f>VLOOKUP($B$2,WB!$C$77:$T$92,WB!L76,FALSE)</f>
        <v>0</v>
      </c>
    </row>
    <row r="13" spans="2:22">
      <c r="B13" s="101" t="s">
        <v>136</v>
      </c>
      <c r="C13" s="81">
        <f t="shared" si="0"/>
        <v>0.7</v>
      </c>
      <c r="D13" s="125">
        <f>VLOOKUP($B$2,WB!$C$77:$T$92,WB!N76,FALSE)</f>
        <v>0</v>
      </c>
    </row>
    <row r="14" spans="2:22">
      <c r="B14" s="101" t="s">
        <v>137</v>
      </c>
      <c r="C14" s="81">
        <f t="shared" si="0"/>
        <v>0.7</v>
      </c>
      <c r="D14" s="125">
        <f>VLOOKUP($B$2,WB!$C$77:$T$92,WB!P76,FALSE)</f>
        <v>0</v>
      </c>
    </row>
    <row r="15" spans="2:22">
      <c r="B15" s="101" t="s">
        <v>138</v>
      </c>
      <c r="C15" s="81">
        <f t="shared" si="0"/>
        <v>0.7</v>
      </c>
      <c r="D15" s="125">
        <f>VLOOKUP($B$2,WB!$C$77:$T$92,WB!R76,FALSE)</f>
        <v>0</v>
      </c>
    </row>
    <row r="16" spans="2:22" ht="15.75" thickBot="1">
      <c r="B16" s="103" t="s">
        <v>139</v>
      </c>
      <c r="C16" s="104">
        <f t="shared" si="0"/>
        <v>0.7</v>
      </c>
      <c r="D16" s="126">
        <f>VLOOKUP($B$2,WB!$C$77:$T$92,WB!T76,FALSE)</f>
        <v>0</v>
      </c>
    </row>
    <row r="19" spans="2:22" ht="15.75" thickBot="1"/>
    <row r="20" spans="2:22" ht="15.75" thickBot="1">
      <c r="B20" s="113">
        <v>1</v>
      </c>
      <c r="C20" s="113">
        <v>2</v>
      </c>
      <c r="D20" s="113">
        <v>3</v>
      </c>
      <c r="R20" s="109" t="s">
        <v>132</v>
      </c>
      <c r="S20" s="110">
        <f>VLOOKUP(R20,$B$22:$D$31,C20,FALSE)</f>
        <v>0.88</v>
      </c>
      <c r="T20" s="110">
        <f>VLOOKUP(R20,$B$22:$D$31,D20,FALSE)</f>
        <v>0.96299999999999997</v>
      </c>
      <c r="U20" s="111">
        <f>T20/S20</f>
        <v>1.0943181818181817</v>
      </c>
      <c r="V20" s="124">
        <f>IF(U20&gt;=100%,0%,100%-U20)</f>
        <v>0</v>
      </c>
    </row>
    <row r="21" spans="2:22" ht="18.75">
      <c r="B21" s="347" t="s">
        <v>7</v>
      </c>
      <c r="C21" s="348"/>
      <c r="D21" s="349"/>
    </row>
    <row r="22" spans="2:22">
      <c r="B22" s="106" t="s">
        <v>256</v>
      </c>
      <c r="C22" s="107" t="s">
        <v>1</v>
      </c>
      <c r="D22" s="108" t="s">
        <v>2</v>
      </c>
    </row>
    <row r="23" spans="2:22">
      <c r="B23" s="101" t="s">
        <v>131</v>
      </c>
      <c r="C23" s="81">
        <f>VLOOKUP(B2,Data!$C$3:$BE$22,Data!H2,FALSE)</f>
        <v>0.88</v>
      </c>
      <c r="D23" s="125">
        <f>VLOOKUP($B$2,WB!$C$78:$U$92,WB!E76,FALSE)</f>
        <v>0.95299999999999996</v>
      </c>
    </row>
    <row r="24" spans="2:22">
      <c r="B24" s="101" t="s">
        <v>132</v>
      </c>
      <c r="C24" s="81">
        <f>C23</f>
        <v>0.88</v>
      </c>
      <c r="D24" s="125">
        <f>VLOOKUP($B$2,WB!$C$78:$U$92,WB!G76,FALSE)</f>
        <v>0.96299999999999997</v>
      </c>
    </row>
    <row r="25" spans="2:22">
      <c r="B25" s="101" t="s">
        <v>133</v>
      </c>
      <c r="C25" s="81">
        <f t="shared" ref="C25:C31" si="1">C24</f>
        <v>0.88</v>
      </c>
      <c r="D25" s="125">
        <f>VLOOKUP($B$2,WB!$C$78:$U$92,WB!I76,FALSE)</f>
        <v>0.95599999999999996</v>
      </c>
    </row>
    <row r="26" spans="2:22">
      <c r="B26" s="101" t="s">
        <v>134</v>
      </c>
      <c r="C26" s="81">
        <f t="shared" si="1"/>
        <v>0.88</v>
      </c>
      <c r="D26" s="125">
        <f>VLOOKUP($B$2,WB!$C$78:$U$92,WB!K76,FALSE)</f>
        <v>0.95599999999999996</v>
      </c>
    </row>
    <row r="27" spans="2:22">
      <c r="B27" s="101" t="s">
        <v>135</v>
      </c>
      <c r="C27" s="81">
        <f t="shared" si="1"/>
        <v>0.88</v>
      </c>
      <c r="D27" s="125">
        <f>VLOOKUP($B$2,WB!$C$78:$U$92,WB!M76,FALSE)</f>
        <v>0</v>
      </c>
    </row>
    <row r="28" spans="2:22">
      <c r="B28" s="101" t="s">
        <v>136</v>
      </c>
      <c r="C28" s="81">
        <f t="shared" si="1"/>
        <v>0.88</v>
      </c>
      <c r="D28" s="125">
        <f>VLOOKUP($B$2,WB!$C$78:$U$92,WB!O76,FALSE)</f>
        <v>0</v>
      </c>
    </row>
    <row r="29" spans="2:22">
      <c r="B29" s="101" t="s">
        <v>137</v>
      </c>
      <c r="C29" s="81">
        <f t="shared" si="1"/>
        <v>0.88</v>
      </c>
      <c r="D29" s="125">
        <f>VLOOKUP($B$2,WB!$C$78:$U$92,WB!Q76,FALSE)</f>
        <v>0</v>
      </c>
    </row>
    <row r="30" spans="2:22">
      <c r="B30" s="101" t="s">
        <v>138</v>
      </c>
      <c r="C30" s="81">
        <f t="shared" si="1"/>
        <v>0.88</v>
      </c>
      <c r="D30" s="125">
        <f>VLOOKUP($B$2,WB!$C$78:$U$92,WB!S76,FALSE)</f>
        <v>0</v>
      </c>
    </row>
    <row r="31" spans="2:22" ht="15.75" thickBot="1">
      <c r="B31" s="103" t="s">
        <v>139</v>
      </c>
      <c r="C31" s="104">
        <f t="shared" si="1"/>
        <v>0.88</v>
      </c>
      <c r="D31" s="126">
        <f>VLOOKUP($B$2,WB!$C$78:$U$92,WB!U76,FALSE)</f>
        <v>0</v>
      </c>
    </row>
    <row r="34" spans="2:22" ht="15.75" thickBot="1">
      <c r="B34" s="113">
        <v>1</v>
      </c>
      <c r="C34" s="113">
        <v>2</v>
      </c>
      <c r="D34" s="113">
        <v>3</v>
      </c>
    </row>
    <row r="35" spans="2:22" ht="19.5" thickBot="1">
      <c r="B35" s="347" t="s">
        <v>233</v>
      </c>
      <c r="C35" s="348"/>
      <c r="D35" s="349"/>
      <c r="R35" s="109" t="s">
        <v>132</v>
      </c>
      <c r="S35" s="112">
        <f>VLOOKUP(B2,Data!C3:BE22,Data!T2,FALSE)</f>
        <v>0.74</v>
      </c>
      <c r="T35" s="112">
        <f>VLOOKUP(R35,B36:D48,D34,FALSE)</f>
        <v>0.68786127167630062</v>
      </c>
      <c r="U35" s="124">
        <f>T35/S35</f>
        <v>0.92954225902202792</v>
      </c>
      <c r="V35" s="124">
        <f>IF(U35&gt;=100%,0%,100%-U35)</f>
        <v>7.0457740977972083E-2</v>
      </c>
    </row>
    <row r="36" spans="2:22">
      <c r="B36" s="130" t="s">
        <v>256</v>
      </c>
      <c r="C36" s="107" t="s">
        <v>1</v>
      </c>
      <c r="D36" s="108" t="s">
        <v>2</v>
      </c>
    </row>
    <row r="37" spans="2:22">
      <c r="B37" s="131" t="s">
        <v>128</v>
      </c>
      <c r="C37" s="89">
        <f>VLOOKUP($B$2,WB!$C$138:$Z$154,WB!D136,FALSE)</f>
        <v>0.60121026011560696</v>
      </c>
      <c r="D37" s="102">
        <f>VLOOKUP($B$2,WB!$C$138:$Z$154,WB!E136,FALSE)</f>
        <v>0.59826589595375723</v>
      </c>
    </row>
    <row r="38" spans="2:22">
      <c r="B38" s="131" t="s">
        <v>129</v>
      </c>
      <c r="C38" s="89">
        <f>VLOOKUP($B$2,WB!$C$138:$Z$154,WB!F136,FALSE)</f>
        <v>0.61427023121387292</v>
      </c>
      <c r="D38" s="102">
        <f>VLOOKUP($B$2,WB!$C$138:$Z$154,WB!G136,FALSE)</f>
        <v>0.60838150289017345</v>
      </c>
    </row>
    <row r="39" spans="2:22">
      <c r="B39" s="131" t="s">
        <v>130</v>
      </c>
      <c r="C39" s="89">
        <f>VLOOKUP($B$2,WB!$C$138:$Z$154,WB!H136,FALSE)</f>
        <v>0.62733020231213887</v>
      </c>
      <c r="D39" s="102">
        <f>VLOOKUP($B$2,WB!$C$138:$Z$154,WB!I136,FALSE)</f>
        <v>0.63294797687861271</v>
      </c>
    </row>
    <row r="40" spans="2:22">
      <c r="B40" s="131" t="s">
        <v>131</v>
      </c>
      <c r="C40" s="89">
        <f>VLOOKUP($B$2,WB!$C$138:$Z$154,WB!J136,FALSE)</f>
        <v>0.64039017341040472</v>
      </c>
      <c r="D40" s="102">
        <f>VLOOKUP($B$2,WB!$C$138:$Z$154,WB!K136,FALSE)</f>
        <v>0.66763005780346818</v>
      </c>
    </row>
    <row r="41" spans="2:22">
      <c r="B41" s="131" t="s">
        <v>132</v>
      </c>
      <c r="C41" s="89">
        <f>VLOOKUP($B$2,WB!$C$138:$Z$154,WB!L136,FALSE)</f>
        <v>0.65345014450867067</v>
      </c>
      <c r="D41" s="102">
        <f>VLOOKUP($B$2,WB!$C$138:$Z$154,WB!M136,FALSE)</f>
        <v>0.68786127167630062</v>
      </c>
    </row>
    <row r="42" spans="2:22">
      <c r="B42" s="131" t="s">
        <v>133</v>
      </c>
      <c r="C42" s="89">
        <f>VLOOKUP($B$2,WB!$C$138:$Z$154,WB!N136,FALSE)</f>
        <v>0.66651011560693663</v>
      </c>
      <c r="D42" s="102">
        <f>VLOOKUP($B$2,WB!$C$138:$Z$154,WB!O136,FALSE)</f>
        <v>0.71242774566473988</v>
      </c>
    </row>
    <row r="43" spans="2:22">
      <c r="B43" s="131" t="s">
        <v>134</v>
      </c>
      <c r="C43" s="89">
        <f>VLOOKUP($B$2,WB!$C$138:$Z$154,WB!P136,FALSE)</f>
        <v>0.67957008670520258</v>
      </c>
      <c r="D43" s="102">
        <f>VLOOKUP($B$2,WB!$C$138:$Z$154,WB!Q136,FALSE)</f>
        <v>0.73988439306358378</v>
      </c>
    </row>
    <row r="44" spans="2:22">
      <c r="B44" s="131" t="s">
        <v>135</v>
      </c>
      <c r="C44" s="89">
        <f>VLOOKUP($B$2,WB!$C$138:$Z$154,WB!R136,FALSE)</f>
        <v>0.69263005780346842</v>
      </c>
      <c r="D44" s="132"/>
    </row>
    <row r="45" spans="2:22">
      <c r="B45" s="131" t="s">
        <v>136</v>
      </c>
      <c r="C45" s="89">
        <f>VLOOKUP($B$2,WB!$C$138:$Z$154,WB!T136,FALSE)</f>
        <v>0.70569002890173438</v>
      </c>
      <c r="D45" s="132"/>
    </row>
    <row r="46" spans="2:22">
      <c r="B46" s="131" t="s">
        <v>137</v>
      </c>
      <c r="C46" s="89">
        <f>VLOOKUP($B$2,WB!$C$138:$Z$154,WB!V136,FALSE)</f>
        <v>0.71875000000000033</v>
      </c>
      <c r="D46" s="132"/>
    </row>
    <row r="47" spans="2:22">
      <c r="B47" s="131" t="s">
        <v>138</v>
      </c>
      <c r="C47" s="89">
        <f>VLOOKUP($B$2,WB!$C$138:$Z$154,WB!X136,FALSE)</f>
        <v>0.73180997109826629</v>
      </c>
      <c r="D47" s="132"/>
    </row>
    <row r="48" spans="2:22" ht="15.75" thickBot="1">
      <c r="B48" s="133" t="s">
        <v>139</v>
      </c>
      <c r="C48" s="135">
        <f>VLOOKUP($B$2,WB!$C$138:$Z$154,WB!Z136,FALSE)</f>
        <v>0.74486994219653213</v>
      </c>
      <c r="D48" s="134"/>
    </row>
    <row r="51" spans="2:21" ht="15.75" thickBot="1"/>
    <row r="52" spans="2:21" ht="18.75">
      <c r="B52" s="350" t="s">
        <v>257</v>
      </c>
      <c r="C52" s="351"/>
      <c r="D52" s="351"/>
      <c r="E52" s="352"/>
      <c r="R52" s="188">
        <v>0.9</v>
      </c>
      <c r="S52" s="90">
        <f>VLOOKUP(B2,Data!C3:BE22,Data!Q2,FALSE)</f>
        <v>1</v>
      </c>
      <c r="T52" s="173">
        <f>S52/R52</f>
        <v>1.1111111111111112</v>
      </c>
      <c r="U52" s="136">
        <f>IF(T52&gt;=100%,0%,100%-T52)</f>
        <v>0</v>
      </c>
    </row>
    <row r="53" spans="2:21">
      <c r="B53" s="106" t="s">
        <v>256</v>
      </c>
      <c r="C53" s="107" t="s">
        <v>1</v>
      </c>
      <c r="D53" s="107" t="s">
        <v>258</v>
      </c>
      <c r="E53" s="108" t="s">
        <v>259</v>
      </c>
    </row>
    <row r="54" spans="2:21">
      <c r="B54" s="131" t="s">
        <v>131</v>
      </c>
      <c r="C54" s="81">
        <v>0.9</v>
      </c>
      <c r="D54" s="89">
        <f>VLOOKUP($B$2,WB!$B$42:$U$73,WB!D40,FALSE)</f>
        <v>1</v>
      </c>
      <c r="E54" s="102">
        <f>VLOOKUP($B$2,WB!$B$42:$U$73,WB!E40,FALSE)</f>
        <v>1</v>
      </c>
    </row>
    <row r="55" spans="2:21">
      <c r="B55" s="131" t="s">
        <v>132</v>
      </c>
      <c r="C55" s="81">
        <v>0.9</v>
      </c>
      <c r="D55" s="89">
        <f>VLOOKUP($B$2,WB!$B$42:$U$73,WB!F40,FALSE)</f>
        <v>1</v>
      </c>
      <c r="E55" s="102">
        <f>VLOOKUP($B$2,WB!$B$42:$U$73,WB!G40,FALSE)</f>
        <v>1</v>
      </c>
    </row>
    <row r="56" spans="2:21">
      <c r="B56" s="131" t="s">
        <v>133</v>
      </c>
      <c r="C56" s="81">
        <v>0.9</v>
      </c>
      <c r="D56" s="89">
        <f>VLOOKUP($B$2,WB!$B$42:$U$73,WB!H40,FALSE)</f>
        <v>1</v>
      </c>
      <c r="E56" s="102">
        <f>VLOOKUP($B$2,WB!$B$42:$U$73,WB!I40,FALSE)</f>
        <v>1</v>
      </c>
    </row>
    <row r="57" spans="2:21">
      <c r="B57" s="131" t="s">
        <v>134</v>
      </c>
      <c r="C57" s="81">
        <v>0.9</v>
      </c>
      <c r="D57" s="89">
        <f>VLOOKUP($B$2,WB!$B$42:$U$73,WB!J40,FALSE)</f>
        <v>1</v>
      </c>
      <c r="E57" s="102">
        <f>VLOOKUP($B$2,WB!$B$42:$U$73,WB!K40,FALSE)</f>
        <v>1</v>
      </c>
    </row>
    <row r="58" spans="2:21">
      <c r="B58" s="131" t="s">
        <v>135</v>
      </c>
      <c r="C58" s="81">
        <v>0.9</v>
      </c>
      <c r="D58" s="89">
        <f>VLOOKUP($B$2,WB!$B$42:$U$73,WB!L40,FALSE)</f>
        <v>0</v>
      </c>
      <c r="E58" s="102">
        <f>VLOOKUP($B$2,WB!$B$42:$U$73,WB!M40,FALSE)</f>
        <v>0</v>
      </c>
    </row>
    <row r="59" spans="2:21">
      <c r="B59" s="131" t="s">
        <v>136</v>
      </c>
      <c r="C59" s="81">
        <v>0.9</v>
      </c>
      <c r="D59" s="89">
        <f>VLOOKUP($B$2,WB!$B$42:$U$73,WB!N40,FALSE)</f>
        <v>0</v>
      </c>
      <c r="E59" s="102">
        <f>VLOOKUP($B$2,WB!$B$42:$U$73,WB!O40,FALSE)</f>
        <v>0</v>
      </c>
    </row>
    <row r="60" spans="2:21">
      <c r="B60" s="131" t="s">
        <v>137</v>
      </c>
      <c r="C60" s="81">
        <v>0.9</v>
      </c>
      <c r="D60" s="89">
        <f>VLOOKUP($B$2,WB!$B$42:$U$73,WB!P40,FALSE)</f>
        <v>0</v>
      </c>
      <c r="E60" s="102">
        <f>VLOOKUP($B$2,WB!$B$42:$U$73,WB!Q40,FALSE)</f>
        <v>0</v>
      </c>
    </row>
    <row r="61" spans="2:21">
      <c r="B61" s="131" t="s">
        <v>138</v>
      </c>
      <c r="C61" s="81">
        <v>0.9</v>
      </c>
      <c r="D61" s="89">
        <f>VLOOKUP($B$2,WB!$B$42:$U$73,WB!R40,FALSE)</f>
        <v>0</v>
      </c>
      <c r="E61" s="102">
        <f>VLOOKUP($B$2,WB!$B$42:$U$73,WB!S40,FALSE)</f>
        <v>0</v>
      </c>
    </row>
    <row r="62" spans="2:21" ht="15.75" thickBot="1">
      <c r="B62" s="133" t="s">
        <v>139</v>
      </c>
      <c r="C62" s="104">
        <v>0.9</v>
      </c>
      <c r="D62" s="135">
        <f>VLOOKUP($B$2,WB!$B$42:$U$73,WB!T40,FALSE)</f>
        <v>0</v>
      </c>
      <c r="E62" s="105">
        <f>VLOOKUP($B$2,WB!$B$42:$U$73,WB!U40,FALSE)</f>
        <v>0</v>
      </c>
    </row>
    <row r="64" spans="2:21" ht="15.75" thickBot="1"/>
    <row r="65" spans="2:15">
      <c r="C65" s="344" t="s">
        <v>52</v>
      </c>
      <c r="D65" s="345"/>
      <c r="E65" s="346"/>
      <c r="M65" s="338" t="s">
        <v>55</v>
      </c>
      <c r="N65" s="339"/>
      <c r="O65"/>
    </row>
    <row r="66" spans="2:15">
      <c r="B66"/>
      <c r="C66" s="106" t="s">
        <v>256</v>
      </c>
      <c r="D66" s="342" t="s">
        <v>18</v>
      </c>
      <c r="E66" s="343"/>
      <c r="M66" s="106" t="s">
        <v>1</v>
      </c>
      <c r="N66" s="180" t="s">
        <v>18</v>
      </c>
      <c r="O66"/>
    </row>
    <row r="67" spans="2:15" ht="16.7" customHeight="1">
      <c r="B67" s="112"/>
      <c r="C67" s="131" t="s">
        <v>130</v>
      </c>
      <c r="D67" s="80">
        <f>VLOOKUP($B$2,WB!$AM$4:$AW$20,WB!AN3,FALSE)</f>
        <v>3</v>
      </c>
      <c r="E67" s="125">
        <f>IF(D67=3,10%,IF(D67=0,"",0%))</f>
        <v>0.1</v>
      </c>
      <c r="M67" s="176" t="s">
        <v>152</v>
      </c>
      <c r="N67" s="174">
        <f>VLOOKUP($B$2,WB!$AF$3:$AK$18,WB!AG2,FALSE)</f>
        <v>0.25</v>
      </c>
      <c r="O67" s="181">
        <f>SUM(N67:N70)</f>
        <v>0.5</v>
      </c>
    </row>
    <row r="68" spans="2:15" ht="16.7" customHeight="1">
      <c r="C68" s="131" t="s">
        <v>131</v>
      </c>
      <c r="D68" s="80">
        <f>VLOOKUP($B$2,WB!$AM$4:$AW$20,WB!AO3,FALSE)</f>
        <v>3</v>
      </c>
      <c r="E68" s="125">
        <f t="shared" ref="E68:E76" si="2">IF(D68=3,10%,IF(D68=0,"",0%))</f>
        <v>0.1</v>
      </c>
      <c r="M68" s="176" t="s">
        <v>87</v>
      </c>
      <c r="N68" s="174">
        <f>VLOOKUP($B$2,WB!$AF$3:$AK$18,WB!AH2,FALSE)</f>
        <v>0.25</v>
      </c>
      <c r="O68" s="182">
        <f>IF(O67&gt;=100%,0%,100%-O67)</f>
        <v>0.5</v>
      </c>
    </row>
    <row r="69" spans="2:15" ht="16.7" customHeight="1">
      <c r="C69" s="131" t="s">
        <v>132</v>
      </c>
      <c r="D69" s="80">
        <f>VLOOKUP($B$2,WB!$AM$4:$AW$20,WB!AP3,FALSE)</f>
        <v>3</v>
      </c>
      <c r="E69" s="125">
        <f t="shared" si="2"/>
        <v>0.1</v>
      </c>
      <c r="M69" s="176" t="s">
        <v>88</v>
      </c>
      <c r="N69" s="174" t="str">
        <f>VLOOKUP($B$2,WB!$AF$3:$AK$18,WB!AI2,FALSE)</f>
        <v>-</v>
      </c>
      <c r="O69" s="183"/>
    </row>
    <row r="70" spans="2:15" ht="16.7" customHeight="1" thickBot="1">
      <c r="C70" s="131" t="s">
        <v>133</v>
      </c>
      <c r="D70" s="80">
        <f>VLOOKUP($B$2,WB!$AM$4:$AW$20,WB!AQ3,FALSE)</f>
        <v>3</v>
      </c>
      <c r="E70" s="125">
        <f t="shared" si="2"/>
        <v>0.1</v>
      </c>
      <c r="M70" s="177" t="s">
        <v>153</v>
      </c>
      <c r="N70" s="175" t="str">
        <f>VLOOKUP($B$2,WB!$AF$3:$AK$18,WB!AJ2,FALSE)</f>
        <v>-</v>
      </c>
      <c r="O70" s="183"/>
    </row>
    <row r="71" spans="2:15" ht="16.7" customHeight="1">
      <c r="C71" s="131" t="s">
        <v>134</v>
      </c>
      <c r="D71" s="80">
        <f>VLOOKUP($B$2,WB!$AM$4:$AW$20,WB!AR3,FALSE)</f>
        <v>3</v>
      </c>
      <c r="E71" s="125">
        <f t="shared" si="2"/>
        <v>0.1</v>
      </c>
      <c r="O71" s="113"/>
    </row>
    <row r="72" spans="2:15" ht="16.7" customHeight="1" thickBot="1">
      <c r="C72" s="131" t="s">
        <v>135</v>
      </c>
      <c r="D72" s="80">
        <f>VLOOKUP($B$2,WB!$AM$4:$AW$20,WB!AS3,FALSE)</f>
        <v>3</v>
      </c>
      <c r="E72" s="125">
        <f t="shared" si="2"/>
        <v>0.1</v>
      </c>
      <c r="O72" s="183"/>
    </row>
    <row r="73" spans="2:15" ht="16.7" customHeight="1">
      <c r="C73" s="131" t="s">
        <v>136</v>
      </c>
      <c r="D73" s="80" t="str">
        <f>VLOOKUP($B$2,WB!$AM$4:$AW$20,WB!AT3,FALSE)</f>
        <v>-</v>
      </c>
      <c r="E73" s="125">
        <f t="shared" si="2"/>
        <v>0</v>
      </c>
      <c r="M73" s="340" t="s">
        <v>21</v>
      </c>
      <c r="N73" s="341"/>
      <c r="O73" s="183"/>
    </row>
    <row r="74" spans="2:15" ht="16.7" customHeight="1">
      <c r="C74" s="131" t="s">
        <v>137</v>
      </c>
      <c r="D74" s="80" t="str">
        <f>VLOOKUP($B$2,WB!$AM$4:$AW$20,WB!AU3,FALSE)</f>
        <v>-</v>
      </c>
      <c r="E74" s="125">
        <f t="shared" si="2"/>
        <v>0</v>
      </c>
      <c r="M74" s="106" t="s">
        <v>1</v>
      </c>
      <c r="N74" s="180" t="s">
        <v>18</v>
      </c>
      <c r="O74" s="181">
        <f>SUM(N75:N78)</f>
        <v>0.75</v>
      </c>
    </row>
    <row r="75" spans="2:15" ht="16.7" customHeight="1">
      <c r="C75" s="131" t="s">
        <v>138</v>
      </c>
      <c r="D75" s="80" t="str">
        <f>VLOOKUP($B$2,WB!$AM$4:$AW$20,WB!AV3,FALSE)</f>
        <v>-</v>
      </c>
      <c r="E75" s="125">
        <f t="shared" si="2"/>
        <v>0</v>
      </c>
      <c r="M75" s="176" t="s">
        <v>152</v>
      </c>
      <c r="N75" s="174">
        <f>VLOOKUP($B$2,WB!$AF$22:$AK$37,WB!AG21,FALSE)</f>
        <v>0.25</v>
      </c>
      <c r="O75" s="182">
        <f>IF(O74&gt;=100%,0%,100%-O74)</f>
        <v>0.25</v>
      </c>
    </row>
    <row r="76" spans="2:15" ht="16.7" customHeight="1" thickBot="1">
      <c r="C76" s="133" t="s">
        <v>139</v>
      </c>
      <c r="D76" s="122" t="str">
        <f>VLOOKUP($B$2,WB!$AM$4:$AW$20,WB!AW3,FALSE)</f>
        <v>-</v>
      </c>
      <c r="E76" s="126">
        <f t="shared" si="2"/>
        <v>0</v>
      </c>
      <c r="M76" s="176" t="s">
        <v>87</v>
      </c>
      <c r="N76" s="174">
        <f>VLOOKUP($B$2,WB!$AF$22:$AK$37,WB!AH21,FALSE)</f>
        <v>0.25</v>
      </c>
      <c r="O76"/>
    </row>
    <row r="77" spans="2:15" ht="16.7" customHeight="1">
      <c r="D77" s="214"/>
      <c r="E77" s="214"/>
      <c r="M77" s="176" t="s">
        <v>88</v>
      </c>
      <c r="N77" s="174">
        <f>VLOOKUP($B$2,WB!$AF$22:$AK$37,WB!AI21,FALSE)</f>
        <v>0.25</v>
      </c>
      <c r="O77"/>
    </row>
    <row r="78" spans="2:15" ht="15.75" thickBot="1">
      <c r="D78" s="124">
        <f>IF(E78&gt;=100%,0%,100%-E78)</f>
        <v>0.4</v>
      </c>
      <c r="E78" s="111">
        <f>SUM(E67:E76)</f>
        <v>0.6</v>
      </c>
      <c r="M78" s="177" t="s">
        <v>153</v>
      </c>
      <c r="N78" s="175" t="str">
        <f>VLOOKUP($B$2,WB!$AF$22:$AK$37,WB!AJ21,FALSE)</f>
        <v>-</v>
      </c>
      <c r="O78" s="179"/>
    </row>
    <row r="82" spans="2:4">
      <c r="B82" s="107" t="s">
        <v>256</v>
      </c>
      <c r="C82" s="107" t="s">
        <v>2</v>
      </c>
      <c r="D82" s="107" t="s">
        <v>260</v>
      </c>
    </row>
    <row r="83" spans="2:4">
      <c r="B83" s="206" t="s">
        <v>131</v>
      </c>
      <c r="C83" s="207"/>
      <c r="D83" s="207"/>
    </row>
    <row r="84" spans="2:4">
      <c r="B84" s="206" t="s">
        <v>132</v>
      </c>
      <c r="C84" s="207"/>
      <c r="D84" s="207"/>
    </row>
    <row r="85" spans="2:4">
      <c r="B85" s="206" t="s">
        <v>133</v>
      </c>
      <c r="C85" s="207"/>
      <c r="D85" s="207"/>
    </row>
    <row r="86" spans="2:4">
      <c r="B86" s="206" t="s">
        <v>134</v>
      </c>
      <c r="C86" s="207"/>
      <c r="D86" s="207"/>
    </row>
    <row r="87" spans="2:4">
      <c r="B87" s="206" t="s">
        <v>135</v>
      </c>
      <c r="C87" s="207"/>
      <c r="D87" s="207"/>
    </row>
    <row r="88" spans="2:4">
      <c r="B88" s="206" t="s">
        <v>136</v>
      </c>
      <c r="C88" s="207"/>
      <c r="D88" s="207"/>
    </row>
    <row r="89" spans="2:4">
      <c r="B89" s="206" t="s">
        <v>137</v>
      </c>
      <c r="C89" s="207"/>
      <c r="D89" s="207"/>
    </row>
    <row r="90" spans="2:4">
      <c r="B90" s="206" t="s">
        <v>138</v>
      </c>
      <c r="C90" s="207"/>
      <c r="D90" s="207"/>
    </row>
    <row r="91" spans="2:4">
      <c r="B91" s="206" t="s">
        <v>139</v>
      </c>
      <c r="C91" s="207"/>
      <c r="D91" s="207"/>
    </row>
  </sheetData>
  <mergeCells count="8">
    <mergeCell ref="M65:N65"/>
    <mergeCell ref="M73:N73"/>
    <mergeCell ref="D66:E66"/>
    <mergeCell ref="C65:E65"/>
    <mergeCell ref="B6:D6"/>
    <mergeCell ref="B21:D21"/>
    <mergeCell ref="B35:D35"/>
    <mergeCell ref="B52:E52"/>
  </mergeCells>
  <phoneticPr fontId="5" type="noConversion"/>
  <conditionalFormatting sqref="D67:D76">
    <cfRule type="iconSet" priority="6">
      <iconSet showValue="0">
        <cfvo type="percent" val="0"/>
        <cfvo type="num" val="2"/>
        <cfvo type="num" val="3"/>
      </iconSet>
    </cfRule>
  </conditionalFormatting>
  <conditionalFormatting sqref="N67:N70">
    <cfRule type="iconSet" priority="5">
      <iconSet showValue="0">
        <cfvo type="percent" val="0"/>
        <cfvo type="num" val="20"/>
        <cfvo type="percent" val="25"/>
      </iconSet>
    </cfRule>
  </conditionalFormatting>
  <conditionalFormatting sqref="N75:N78">
    <cfRule type="iconSet" priority="1">
      <iconSet showValue="0">
        <cfvo type="percent" val="0"/>
        <cfvo type="num" val="20"/>
        <cfvo type="percent" val="25"/>
      </iconSet>
    </cfRule>
  </conditionalFormatting>
  <dataValidations count="3">
    <dataValidation type="list" allowBlank="1" showInputMessage="1" showErrorMessage="1" sqref="R5" xr:uid="{E188AD17-8954-4F65-8D5A-0511E8EC9FA0}">
      <formula1>$B$8:$B$16</formula1>
    </dataValidation>
    <dataValidation type="list" allowBlank="1" showInputMessage="1" showErrorMessage="1" sqref="R20" xr:uid="{4AD09DDE-89AC-49C2-9D4A-EDAD230AE70E}">
      <formula1>$B$23:$B$31</formula1>
    </dataValidation>
    <dataValidation type="list" allowBlank="1" showInputMessage="1" showErrorMessage="1" sqref="R35" xr:uid="{0D9CDB0C-B13F-4FC9-8838-F6FCBD413BE3}">
      <formula1>$B$37:$B$48</formula1>
    </dataValidation>
  </dataValidations>
  <pageMargins left="0.7" right="0.7" top="0.75" bottom="0.75" header="0.3" footer="0.3"/>
  <ignoredErrors>
    <ignoredError sqref="C42:C48" evalError="1"/>
  </ignoredErrors>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728B155-7F98-484D-A285-FC1459D6BF83}">
          <x14:formula1>
            <xm:f>Data!$C$4:$C$18</xm:f>
          </x14:formula1>
          <xm:sqref>B2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42fb338-6e7f-46c2-a04d-1835f0b57452" xsi:nil="true"/>
    <lcf76f155ced4ddcb4097134ff3c332f xmlns="22ff7873-98f4-4119-bbca-70544c3aade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1B9CBAF11028447B385221D9B36D96A" ma:contentTypeVersion="15" ma:contentTypeDescription="Create a new document." ma:contentTypeScope="" ma:versionID="185deeeeaa85aa5acc6da7ff5918ca94">
  <xsd:schema xmlns:xsd="http://www.w3.org/2001/XMLSchema" xmlns:xs="http://www.w3.org/2001/XMLSchema" xmlns:p="http://schemas.microsoft.com/office/2006/metadata/properties" xmlns:ns2="22ff7873-98f4-4119-bbca-70544c3aaded" xmlns:ns3="242fb338-6e7f-46c2-a04d-1835f0b57452" targetNamespace="http://schemas.microsoft.com/office/2006/metadata/properties" ma:root="true" ma:fieldsID="d20db2146c0415d77fbec532ba79aee6" ns2:_="" ns3:_="">
    <xsd:import namespace="22ff7873-98f4-4119-bbca-70544c3aaded"/>
    <xsd:import namespace="242fb338-6e7f-46c2-a04d-1835f0b57452"/>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OCR" minOccurs="0"/>
                <xsd:element ref="ns2:MediaServiceDateTake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ff7873-98f4-4119-bbca-70544c3aade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4e993f94-6c0e-4a87-8957-b0e4ba0de1aa"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2fb338-6e7f-46c2-a04d-1835f0b57452"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26729c6-d9c5-4601-b62f-5163f218f012}" ma:internalName="TaxCatchAll" ma:showField="CatchAllData" ma:web="242fb338-6e7f-46c2-a04d-1835f0b57452">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AA3BD3-FC33-49C7-8FFA-720A09098D3B}">
  <ds:schemaRefs>
    <ds:schemaRef ds:uri="http://schemas.microsoft.com/sharepoint/v3/contenttype/forms"/>
  </ds:schemaRefs>
</ds:datastoreItem>
</file>

<file path=customXml/itemProps2.xml><?xml version="1.0" encoding="utf-8"?>
<ds:datastoreItem xmlns:ds="http://schemas.openxmlformats.org/officeDocument/2006/customXml" ds:itemID="{64E66E15-4778-4129-99C9-A55E38F0DC34}">
  <ds:schemaRefs>
    <ds:schemaRef ds:uri="http://purl.org/dc/elements/1.1/"/>
    <ds:schemaRef ds:uri="http://schemas.microsoft.com/office/2006/documentManagement/types"/>
    <ds:schemaRef ds:uri="22ff7873-98f4-4119-bbca-70544c3aaded"/>
    <ds:schemaRef ds:uri="242fb338-6e7f-46c2-a04d-1835f0b57452"/>
    <ds:schemaRef ds:uri="http://schemas.microsoft.com/office/infopath/2007/PartnerControls"/>
    <ds:schemaRef ds:uri="http://purl.org/dc/dcmitype/"/>
    <ds:schemaRef ds:uri="http://www.w3.org/XML/1998/namespace"/>
    <ds:schemaRef ds:uri="http://schemas.openxmlformats.org/package/2006/metadata/core-properties"/>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9624E47F-8C23-423C-89CF-EE75FCD5D0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2ff7873-98f4-4119-bbca-70544c3aaded"/>
    <ds:schemaRef ds:uri="242fb338-6e7f-46c2-a04d-1835f0b574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DB (2)</vt:lpstr>
      <vt:lpstr>Data</vt:lpstr>
      <vt:lpstr>Annual Plan</vt:lpstr>
      <vt:lpstr>DB</vt:lpstr>
      <vt:lpstr>WB</vt:lpstr>
      <vt:lpstr>Sheet2</vt:lpstr>
      <vt:lpstr>Tracking</vt:lpstr>
    </vt:vector>
  </TitlesOfParts>
  <Manager/>
  <Company>Nissan Americas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Andrade Hernandez, Ruben</dc:creator>
  <cp:keywords/>
  <dc:description/>
  <cp:lastModifiedBy>Leonardo Gaell Hernandez Molina</cp:lastModifiedBy>
  <cp:revision/>
  <dcterms:created xsi:type="dcterms:W3CDTF">2025-06-12T17:15:30Z</dcterms:created>
  <dcterms:modified xsi:type="dcterms:W3CDTF">2026-01-14T00:50:02Z</dcterms:modified>
  <cp:category>NONE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0x010100A1B9CBAF11028447B385221D9B36D96A</vt:lpwstr>
  </property>
  <property fmtid="{D5CDD505-2E9C-101B-9397-08002B2CF9AE}" pid="3" name="MediaServiceImageTags">
    <vt:lpwstr/>
  </property>
</Properties>
</file>