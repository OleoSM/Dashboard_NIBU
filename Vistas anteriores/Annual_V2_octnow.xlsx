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a3788c24686780f/Escritorio/Nissan/Dashboard_NIBU/Vistas anteriores/"/>
    </mc:Choice>
  </mc:AlternateContent>
  <xr:revisionPtr revIDLastSave="5" documentId="13_ncr:1_{6EFBBC1E-E11D-48A9-9603-177529F04DEF}" xr6:coauthVersionLast="47" xr6:coauthVersionMax="47" xr10:uidLastSave="{7D20A652-FA4E-4046-BA06-029755326CB0}"/>
  <bookViews>
    <workbookView xWindow="-28920" yWindow="-6105" windowWidth="29040" windowHeight="15720" firstSheet="4" activeTab="7" xr2:uid="{53836420-D36C-410F-ABBE-B356CDD75E29}"/>
  </bookViews>
  <sheets>
    <sheet name="AP25" sheetId="1" r:id="rId1"/>
    <sheet name="OR Q1" sheetId="2" r:id="rId2"/>
    <sheet name="OR Q2" sheetId="4" r:id="rId3"/>
    <sheet name="AP25JUL" sheetId="5" r:id="rId4"/>
    <sheet name="OR AUG" sheetId="7" r:id="rId5"/>
    <sheet name="AP25AUG" sheetId="8" r:id="rId6"/>
    <sheet name="OR SEP" sheetId="9" r:id="rId7"/>
    <sheet name="Sheet1" sheetId="11" r:id="rId8"/>
    <sheet name="AP25SEP" sheetId="10" r:id="rId9"/>
    <sheet name="Sheet2" sheetId="12" r:id="rId10"/>
    <sheet name="Grupo Q" sheetId="6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7" i="11" l="1"/>
  <c r="P48" i="11" l="1"/>
  <c r="P51" i="11"/>
  <c r="F51" i="11"/>
  <c r="G51" i="11"/>
  <c r="H51" i="11"/>
  <c r="I51" i="11"/>
  <c r="J51" i="11"/>
  <c r="K51" i="11"/>
  <c r="L51" i="11"/>
  <c r="M51" i="11"/>
  <c r="N51" i="11"/>
  <c r="O51" i="11"/>
  <c r="E51" i="11"/>
  <c r="C51" i="11"/>
  <c r="F44" i="9"/>
  <c r="E60" i="10" l="1"/>
  <c r="E61" i="10"/>
  <c r="E62" i="10"/>
  <c r="E63" i="10"/>
  <c r="E64" i="10"/>
  <c r="E65" i="10"/>
  <c r="E66" i="10"/>
  <c r="E67" i="10"/>
  <c r="E68" i="10"/>
  <c r="E69" i="10"/>
  <c r="E70" i="10"/>
  <c r="E59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4" i="10"/>
  <c r="Z21" i="9"/>
  <c r="Y24" i="9" s="1"/>
  <c r="Z19" i="9" s="1"/>
  <c r="Z20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4" i="10"/>
  <c r="H59" i="10" l="1"/>
  <c r="G17" i="10"/>
  <c r="G18" i="10"/>
  <c r="Z6" i="9"/>
  <c r="G6" i="10" s="1"/>
  <c r="Z7" i="9"/>
  <c r="G9" i="10" s="1"/>
  <c r="Z8" i="9"/>
  <c r="G4" i="10" s="1"/>
  <c r="Z9" i="9"/>
  <c r="G5" i="10" s="1"/>
  <c r="Z10" i="9"/>
  <c r="G8" i="10" s="1"/>
  <c r="Z11" i="9"/>
  <c r="G16" i="10" s="1"/>
  <c r="Z12" i="9"/>
  <c r="G15" i="10" s="1"/>
  <c r="Z13" i="9"/>
  <c r="G12" i="10" s="1"/>
  <c r="Z14" i="9"/>
  <c r="G10" i="10" s="1"/>
  <c r="Z15" i="9"/>
  <c r="G14" i="10" s="1"/>
  <c r="Z16" i="9"/>
  <c r="G13" i="10" s="1"/>
  <c r="Z17" i="9"/>
  <c r="G11" i="10" s="1"/>
  <c r="Z18" i="9"/>
  <c r="Z5" i="9"/>
  <c r="G7" i="10" s="1"/>
  <c r="S36" i="9" l="1"/>
  <c r="T36" i="9"/>
  <c r="S35" i="9"/>
  <c r="T35" i="9"/>
  <c r="R36" i="9"/>
  <c r="Q36" i="9"/>
  <c r="R35" i="9"/>
  <c r="Q35" i="9"/>
  <c r="M44" i="9"/>
  <c r="M45" i="9"/>
  <c r="M46" i="9"/>
  <c r="M47" i="9"/>
  <c r="M48" i="9"/>
  <c r="M49" i="9"/>
  <c r="M50" i="9"/>
  <c r="M51" i="9"/>
  <c r="M52" i="9"/>
  <c r="M53" i="9"/>
  <c r="M54" i="9"/>
  <c r="M55" i="9"/>
  <c r="M43" i="9"/>
  <c r="C78" i="9"/>
  <c r="C76" i="9"/>
  <c r="C75" i="9"/>
  <c r="L36" i="9"/>
  <c r="L35" i="9"/>
  <c r="K36" i="9"/>
  <c r="K35" i="9"/>
  <c r="P6" i="9"/>
  <c r="L55" i="9" s="1"/>
  <c r="L16" i="10" s="1"/>
  <c r="L52" i="10" s="1"/>
  <c r="P7" i="9"/>
  <c r="L46" i="9" s="1"/>
  <c r="L7" i="10" s="1"/>
  <c r="L43" i="10" s="1"/>
  <c r="P8" i="9"/>
  <c r="L54" i="9" s="1"/>
  <c r="L15" i="10" s="1"/>
  <c r="L51" i="10" s="1"/>
  <c r="P9" i="9"/>
  <c r="L48" i="9" s="1"/>
  <c r="L9" i="10" s="1"/>
  <c r="L45" i="10" s="1"/>
  <c r="P10" i="9"/>
  <c r="P11" i="9"/>
  <c r="P13" i="9"/>
  <c r="P15" i="9"/>
  <c r="P16" i="9"/>
  <c r="P17" i="9"/>
  <c r="P20" i="9"/>
  <c r="P22" i="9"/>
  <c r="P23" i="9"/>
  <c r="L47" i="9" s="1"/>
  <c r="L8" i="10" s="1"/>
  <c r="L44" i="10" s="1"/>
  <c r="P24" i="9"/>
  <c r="L53" i="9" s="1"/>
  <c r="L14" i="10" s="1"/>
  <c r="L50" i="10" s="1"/>
  <c r="P25" i="9"/>
  <c r="L49" i="9" s="1"/>
  <c r="L10" i="10" s="1"/>
  <c r="L46" i="10" s="1"/>
  <c r="P26" i="9"/>
  <c r="L50" i="9" s="1"/>
  <c r="L11" i="10" s="1"/>
  <c r="L47" i="10" s="1"/>
  <c r="P27" i="9"/>
  <c r="L51" i="9" s="1"/>
  <c r="L12" i="10" s="1"/>
  <c r="L48" i="10" s="1"/>
  <c r="P31" i="9"/>
  <c r="L52" i="9" s="1"/>
  <c r="L13" i="10" s="1"/>
  <c r="L49" i="10" s="1"/>
  <c r="P33" i="9"/>
  <c r="L44" i="9" s="1"/>
  <c r="L5" i="10" s="1"/>
  <c r="L41" i="10" s="1"/>
  <c r="P34" i="9"/>
  <c r="L45" i="9" s="1"/>
  <c r="L6" i="10" s="1"/>
  <c r="L42" i="10" s="1"/>
  <c r="P5" i="9"/>
  <c r="L43" i="9" s="1"/>
  <c r="L4" i="10" s="1"/>
  <c r="L40" i="10" s="1"/>
  <c r="M6" i="9"/>
  <c r="K55" i="9" s="1"/>
  <c r="K16" i="10" s="1"/>
  <c r="K52" i="10" s="1"/>
  <c r="M7" i="9"/>
  <c r="K46" i="9" s="1"/>
  <c r="K7" i="10" s="1"/>
  <c r="K43" i="10" s="1"/>
  <c r="M8" i="9"/>
  <c r="K54" i="9" s="1"/>
  <c r="K15" i="10" s="1"/>
  <c r="K51" i="10" s="1"/>
  <c r="M9" i="9"/>
  <c r="K48" i="9" s="1"/>
  <c r="K9" i="10" s="1"/>
  <c r="K45" i="10" s="1"/>
  <c r="M11" i="9"/>
  <c r="M17" i="9"/>
  <c r="M20" i="9"/>
  <c r="M22" i="9"/>
  <c r="M23" i="9"/>
  <c r="K47" i="9" s="1"/>
  <c r="K8" i="10" s="1"/>
  <c r="K44" i="10" s="1"/>
  <c r="M24" i="9"/>
  <c r="K53" i="9" s="1"/>
  <c r="K14" i="10" s="1"/>
  <c r="K50" i="10" s="1"/>
  <c r="M25" i="9"/>
  <c r="K49" i="9" s="1"/>
  <c r="K10" i="10" s="1"/>
  <c r="K46" i="10" s="1"/>
  <c r="M26" i="9"/>
  <c r="K50" i="9" s="1"/>
  <c r="K11" i="10" s="1"/>
  <c r="K47" i="10" s="1"/>
  <c r="M27" i="9"/>
  <c r="K51" i="9" s="1"/>
  <c r="K12" i="10" s="1"/>
  <c r="K48" i="10" s="1"/>
  <c r="M28" i="9"/>
  <c r="M29" i="9"/>
  <c r="M30" i="9"/>
  <c r="M31" i="9"/>
  <c r="K52" i="9" s="1"/>
  <c r="K13" i="10" s="1"/>
  <c r="K49" i="10" s="1"/>
  <c r="M32" i="9"/>
  <c r="M33" i="9"/>
  <c r="K44" i="9" s="1"/>
  <c r="K5" i="10" s="1"/>
  <c r="K41" i="10" s="1"/>
  <c r="M34" i="9"/>
  <c r="K45" i="9" s="1"/>
  <c r="K6" i="10" s="1"/>
  <c r="K42" i="10" s="1"/>
  <c r="M5" i="9"/>
  <c r="K43" i="9" s="1"/>
  <c r="K4" i="10" s="1"/>
  <c r="K40" i="10" s="1"/>
  <c r="M54" i="10"/>
  <c r="J54" i="10"/>
  <c r="H54" i="10"/>
  <c r="G54" i="10"/>
  <c r="F54" i="10"/>
  <c r="E54" i="10"/>
  <c r="M53" i="10"/>
  <c r="J53" i="10"/>
  <c r="H53" i="10"/>
  <c r="G53" i="10"/>
  <c r="F53" i="10"/>
  <c r="E53" i="10"/>
  <c r="D53" i="10"/>
  <c r="C53" i="10"/>
  <c r="M52" i="10"/>
  <c r="J52" i="10"/>
  <c r="H52" i="10"/>
  <c r="G52" i="10"/>
  <c r="F52" i="10"/>
  <c r="E52" i="10"/>
  <c r="M51" i="10"/>
  <c r="J51" i="10"/>
  <c r="H51" i="10"/>
  <c r="G51" i="10"/>
  <c r="F51" i="10"/>
  <c r="E51" i="10"/>
  <c r="M50" i="10"/>
  <c r="J50" i="10"/>
  <c r="H50" i="10"/>
  <c r="G50" i="10"/>
  <c r="F50" i="10"/>
  <c r="E50" i="10"/>
  <c r="M49" i="10"/>
  <c r="J49" i="10"/>
  <c r="I49" i="10"/>
  <c r="H49" i="10"/>
  <c r="G49" i="10"/>
  <c r="F49" i="10"/>
  <c r="E49" i="10"/>
  <c r="M48" i="10"/>
  <c r="J48" i="10"/>
  <c r="I48" i="10"/>
  <c r="H48" i="10"/>
  <c r="G48" i="10"/>
  <c r="F48" i="10"/>
  <c r="E48" i="10"/>
  <c r="M47" i="10"/>
  <c r="J47" i="10"/>
  <c r="I47" i="10"/>
  <c r="H47" i="10"/>
  <c r="G47" i="10"/>
  <c r="F47" i="10"/>
  <c r="E47" i="10"/>
  <c r="M46" i="10"/>
  <c r="J46" i="10"/>
  <c r="I46" i="10"/>
  <c r="H46" i="10"/>
  <c r="G46" i="10"/>
  <c r="F46" i="10"/>
  <c r="E46" i="10"/>
  <c r="M45" i="10"/>
  <c r="J45" i="10"/>
  <c r="I45" i="10"/>
  <c r="H45" i="10"/>
  <c r="G45" i="10"/>
  <c r="F45" i="10"/>
  <c r="E45" i="10"/>
  <c r="M44" i="10"/>
  <c r="J44" i="10"/>
  <c r="I44" i="10"/>
  <c r="H44" i="10"/>
  <c r="G44" i="10"/>
  <c r="F44" i="10"/>
  <c r="E44" i="10"/>
  <c r="M43" i="10"/>
  <c r="J43" i="10"/>
  <c r="I43" i="10"/>
  <c r="H43" i="10"/>
  <c r="G43" i="10"/>
  <c r="F43" i="10"/>
  <c r="E43" i="10"/>
  <c r="M42" i="10"/>
  <c r="J42" i="10"/>
  <c r="I42" i="10"/>
  <c r="H42" i="10"/>
  <c r="G42" i="10"/>
  <c r="F42" i="10"/>
  <c r="E42" i="10"/>
  <c r="M41" i="10"/>
  <c r="J41" i="10"/>
  <c r="I41" i="10"/>
  <c r="H41" i="10"/>
  <c r="G41" i="10"/>
  <c r="F41" i="10"/>
  <c r="E41" i="10"/>
  <c r="M40" i="10"/>
  <c r="J40" i="10"/>
  <c r="I40" i="10"/>
  <c r="H40" i="10"/>
  <c r="G40" i="10"/>
  <c r="F40" i="10"/>
  <c r="E40" i="10"/>
  <c r="D5" i="10"/>
  <c r="D41" i="10" s="1"/>
  <c r="D6" i="10"/>
  <c r="D42" i="10" s="1"/>
  <c r="D7" i="10"/>
  <c r="D43" i="10" s="1"/>
  <c r="D8" i="10"/>
  <c r="D44" i="10" s="1"/>
  <c r="D9" i="10"/>
  <c r="D45" i="10" s="1"/>
  <c r="D10" i="10"/>
  <c r="D46" i="10" s="1"/>
  <c r="D11" i="10"/>
  <c r="D47" i="10" s="1"/>
  <c r="D12" i="10"/>
  <c r="D48" i="10" s="1"/>
  <c r="D13" i="10"/>
  <c r="D49" i="10" s="1"/>
  <c r="D14" i="10"/>
  <c r="D50" i="10" s="1"/>
  <c r="D15" i="10"/>
  <c r="D51" i="10" s="1"/>
  <c r="D16" i="10"/>
  <c r="D52" i="10" s="1"/>
  <c r="D4" i="10"/>
  <c r="D40" i="10" s="1"/>
  <c r="C5" i="10"/>
  <c r="C41" i="10" s="1"/>
  <c r="C6" i="10"/>
  <c r="C42" i="10" s="1"/>
  <c r="C7" i="10"/>
  <c r="C43" i="10" s="1"/>
  <c r="C8" i="10"/>
  <c r="C44" i="10" s="1"/>
  <c r="C9" i="10"/>
  <c r="C45" i="10" s="1"/>
  <c r="C10" i="10"/>
  <c r="C46" i="10" s="1"/>
  <c r="C11" i="10"/>
  <c r="C47" i="10" s="1"/>
  <c r="C12" i="10"/>
  <c r="C48" i="10" s="1"/>
  <c r="C13" i="10"/>
  <c r="C49" i="10" s="1"/>
  <c r="C14" i="10"/>
  <c r="C50" i="10" s="1"/>
  <c r="C15" i="10"/>
  <c r="C51" i="10" s="1"/>
  <c r="C16" i="10"/>
  <c r="C52" i="10" s="1"/>
  <c r="C4" i="10"/>
  <c r="C40" i="10" s="1"/>
  <c r="E24" i="9"/>
  <c r="E26" i="9"/>
  <c r="E34" i="9"/>
  <c r="E35" i="9"/>
  <c r="E36" i="9"/>
  <c r="E23" i="9"/>
  <c r="E25" i="9"/>
  <c r="E30" i="9"/>
  <c r="E31" i="9"/>
  <c r="E27" i="9"/>
  <c r="E28" i="9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3" i="9"/>
  <c r="N35" i="9" l="1"/>
  <c r="O35" i="9"/>
  <c r="D76" i="9"/>
  <c r="E72" i="10" s="1"/>
  <c r="O36" i="9"/>
  <c r="D75" i="9"/>
  <c r="M36" i="9"/>
  <c r="K57" i="9" s="1"/>
  <c r="K18" i="10" s="1"/>
  <c r="K54" i="10" s="1"/>
  <c r="N36" i="9"/>
  <c r="N47" i="10"/>
  <c r="D65" i="10" s="1"/>
  <c r="N40" i="10"/>
  <c r="D59" i="10" s="1"/>
  <c r="N44" i="10"/>
  <c r="D62" i="10" s="1"/>
  <c r="N52" i="10"/>
  <c r="D70" i="10" s="1"/>
  <c r="M35" i="9"/>
  <c r="K56" i="9" s="1"/>
  <c r="K17" i="10" s="1"/>
  <c r="K53" i="10" s="1"/>
  <c r="N51" i="10"/>
  <c r="D69" i="10" s="1"/>
  <c r="N46" i="10"/>
  <c r="D64" i="10" s="1"/>
  <c r="E33" i="9"/>
  <c r="E29" i="9"/>
  <c r="N48" i="10"/>
  <c r="D66" i="10" s="1"/>
  <c r="N50" i="10"/>
  <c r="D68" i="10" s="1"/>
  <c r="E32" i="9"/>
  <c r="N49" i="10"/>
  <c r="D67" i="10" s="1"/>
  <c r="N42" i="10"/>
  <c r="D60" i="10" s="1"/>
  <c r="N43" i="10"/>
  <c r="D61" i="10" s="1"/>
  <c r="N45" i="10"/>
  <c r="D63" i="10" s="1"/>
  <c r="N41" i="10"/>
  <c r="P35" i="9" l="1"/>
  <c r="L56" i="9" s="1"/>
  <c r="L17" i="10" s="1"/>
  <c r="L53" i="10" s="1"/>
  <c r="N53" i="10" s="1"/>
  <c r="D71" i="10" s="1"/>
  <c r="P36" i="9"/>
  <c r="L57" i="9" s="1"/>
  <c r="L18" i="10" s="1"/>
  <c r="L54" i="10" s="1"/>
  <c r="N54" i="10" s="1"/>
  <c r="D72" i="10" s="1"/>
  <c r="M57" i="9"/>
  <c r="E71" i="10"/>
  <c r="M56" i="9"/>
  <c r="AI19" i="8"/>
  <c r="AQ37" i="7" l="1"/>
  <c r="AQ36" i="7"/>
  <c r="AP37" i="7"/>
  <c r="AM37" i="7" s="1"/>
  <c r="AO37" i="7" s="1"/>
  <c r="AK55" i="7" s="1"/>
  <c r="AP36" i="7"/>
  <c r="AK37" i="7"/>
  <c r="AK36" i="7"/>
  <c r="AJ37" i="7"/>
  <c r="AJ36" i="7"/>
  <c r="AO7" i="7"/>
  <c r="AK53" i="7" s="1"/>
  <c r="AO8" i="7"/>
  <c r="AK44" i="7" s="1"/>
  <c r="AO9" i="7"/>
  <c r="AK52" i="7" s="1"/>
  <c r="AO10" i="7"/>
  <c r="AK46" i="7" s="1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K45" i="7" s="1"/>
  <c r="AO25" i="7"/>
  <c r="AK51" i="7" s="1"/>
  <c r="AO26" i="7"/>
  <c r="AK47" i="7" s="1"/>
  <c r="AO27" i="7"/>
  <c r="AK48" i="7" s="1"/>
  <c r="AO28" i="7"/>
  <c r="AK49" i="7" s="1"/>
  <c r="AO32" i="7"/>
  <c r="AK50" i="7" s="1"/>
  <c r="AO33" i="7"/>
  <c r="AO34" i="7"/>
  <c r="AK42" i="7" s="1"/>
  <c r="AO35" i="7"/>
  <c r="AK43" i="7" s="1"/>
  <c r="AO6" i="7"/>
  <c r="AK41" i="7" s="1"/>
  <c r="W61" i="7"/>
  <c r="P61" i="7"/>
  <c r="AL36" i="7" l="1"/>
  <c r="AJ54" i="7" s="1"/>
  <c r="AM36" i="7"/>
  <c r="AO36" i="7" s="1"/>
  <c r="AK54" i="7" s="1"/>
  <c r="AL37" i="7"/>
  <c r="AJ55" i="7" s="1"/>
  <c r="AX6" i="7"/>
  <c r="BB13" i="7" s="1"/>
  <c r="AX7" i="7"/>
  <c r="BB6" i="7" s="1"/>
  <c r="AX8" i="7"/>
  <c r="BB7" i="7" s="1"/>
  <c r="AX9" i="7"/>
  <c r="BB12" i="7" s="1"/>
  <c r="AX10" i="7"/>
  <c r="BB8" i="7" s="1"/>
  <c r="AX11" i="7"/>
  <c r="BB15" i="7" s="1"/>
  <c r="AX12" i="7"/>
  <c r="BB16" i="7" s="1"/>
  <c r="AX13" i="7"/>
  <c r="BB17" i="7" s="1"/>
  <c r="AX14" i="7"/>
  <c r="BB14" i="7" s="1"/>
  <c r="AX15" i="7"/>
  <c r="BB11" i="7" s="1"/>
  <c r="AX16" i="7"/>
  <c r="BB10" i="7" s="1"/>
  <c r="AX17" i="7"/>
  <c r="BB9" i="7" s="1"/>
  <c r="AX18" i="7"/>
  <c r="BB19" i="7" s="1"/>
  <c r="AX19" i="7"/>
  <c r="BB18" i="7" s="1"/>
  <c r="AX5" i="7"/>
  <c r="BB5" i="7" s="1"/>
  <c r="L75" i="7"/>
  <c r="K75" i="7"/>
  <c r="L74" i="7"/>
  <c r="K74" i="7"/>
  <c r="M43" i="7"/>
  <c r="M44" i="7"/>
  <c r="M45" i="7"/>
  <c r="M46" i="7"/>
  <c r="M47" i="7"/>
  <c r="M48" i="7"/>
  <c r="M49" i="7"/>
  <c r="M16" i="8" s="1"/>
  <c r="M50" i="7"/>
  <c r="M4" i="8" s="1"/>
  <c r="M51" i="7"/>
  <c r="M6" i="8" s="1"/>
  <c r="M52" i="7"/>
  <c r="M53" i="7"/>
  <c r="M54" i="7"/>
  <c r="M13" i="8" s="1"/>
  <c r="M55" i="7"/>
  <c r="M7" i="8" s="1"/>
  <c r="M56" i="7"/>
  <c r="M10" i="8" s="1"/>
  <c r="M57" i="7"/>
  <c r="M58" i="7"/>
  <c r="M59" i="7"/>
  <c r="M14" i="8" s="1"/>
  <c r="M60" i="7"/>
  <c r="M61" i="7"/>
  <c r="M11" i="8" s="1"/>
  <c r="M62" i="7"/>
  <c r="M63" i="7"/>
  <c r="M12" i="8" s="1"/>
  <c r="M64" i="7"/>
  <c r="M5" i="8" s="1"/>
  <c r="M65" i="7"/>
  <c r="M8" i="8" s="1"/>
  <c r="M66" i="7"/>
  <c r="M15" i="8" s="1"/>
  <c r="M67" i="7"/>
  <c r="M68" i="7"/>
  <c r="M69" i="7"/>
  <c r="M70" i="7"/>
  <c r="M71" i="7"/>
  <c r="M72" i="7"/>
  <c r="M73" i="7"/>
  <c r="M9" i="8" s="1"/>
  <c r="M42" i="7"/>
  <c r="M74" i="7" l="1"/>
  <c r="M18" i="8" s="1"/>
  <c r="M75" i="7"/>
  <c r="M17" i="8" s="1"/>
  <c r="AL7" i="7"/>
  <c r="AJ53" i="7" s="1"/>
  <c r="AL8" i="7"/>
  <c r="AJ44" i="7" s="1"/>
  <c r="AL9" i="7"/>
  <c r="AJ52" i="7" s="1"/>
  <c r="AL10" i="7"/>
  <c r="AJ46" i="7" s="1"/>
  <c r="AL18" i="7"/>
  <c r="AL23" i="7"/>
  <c r="AL24" i="7"/>
  <c r="AJ45" i="7" s="1"/>
  <c r="AL25" i="7"/>
  <c r="AJ51" i="7" s="1"/>
  <c r="AL26" i="7"/>
  <c r="AJ47" i="7" s="1"/>
  <c r="AL27" i="7"/>
  <c r="AJ48" i="7" s="1"/>
  <c r="AL28" i="7"/>
  <c r="AJ49" i="7" s="1"/>
  <c r="AL29" i="7"/>
  <c r="AL30" i="7"/>
  <c r="AL31" i="7"/>
  <c r="AL32" i="7"/>
  <c r="AJ50" i="7" s="1"/>
  <c r="AL33" i="7"/>
  <c r="AL34" i="7"/>
  <c r="AJ42" i="7" s="1"/>
  <c r="AL35" i="7"/>
  <c r="AJ43" i="7" s="1"/>
  <c r="AL6" i="7"/>
  <c r="AJ41" i="7" s="1"/>
  <c r="AE37" i="7"/>
  <c r="AF37" i="7"/>
  <c r="AE36" i="7"/>
  <c r="AF36" i="7"/>
  <c r="AD36" i="7"/>
  <c r="AD37" i="7"/>
  <c r="AC37" i="7"/>
  <c r="X37" i="7"/>
  <c r="AC36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4" i="8"/>
  <c r="AB7" i="7"/>
  <c r="L16" i="8" s="1"/>
  <c r="AB8" i="7"/>
  <c r="L7" i="8" s="1"/>
  <c r="AB9" i="7"/>
  <c r="L15" i="8" s="1"/>
  <c r="AB10" i="7"/>
  <c r="L9" i="8" s="1"/>
  <c r="AB11" i="7"/>
  <c r="AB12" i="7"/>
  <c r="AB14" i="7"/>
  <c r="AB16" i="7"/>
  <c r="AB17" i="7"/>
  <c r="AB18" i="7"/>
  <c r="AB21" i="7"/>
  <c r="AB23" i="7"/>
  <c r="AB24" i="7"/>
  <c r="L8" i="8" s="1"/>
  <c r="AB25" i="7"/>
  <c r="L14" i="8" s="1"/>
  <c r="AB26" i="7"/>
  <c r="L10" i="8" s="1"/>
  <c r="AB27" i="7"/>
  <c r="L11" i="8" s="1"/>
  <c r="AB28" i="7"/>
  <c r="L12" i="8" s="1"/>
  <c r="AB32" i="7"/>
  <c r="L13" i="8" s="1"/>
  <c r="AB33" i="7"/>
  <c r="AB34" i="7"/>
  <c r="L5" i="8" s="1"/>
  <c r="AB35" i="7"/>
  <c r="L6" i="8" s="1"/>
  <c r="AB6" i="7"/>
  <c r="L4" i="8" s="1"/>
  <c r="W37" i="7"/>
  <c r="X36" i="7"/>
  <c r="W36" i="7"/>
  <c r="Y7" i="7"/>
  <c r="K16" i="8" s="1"/>
  <c r="Y8" i="7"/>
  <c r="K7" i="8" s="1"/>
  <c r="Y9" i="7"/>
  <c r="K15" i="8" s="1"/>
  <c r="Y10" i="7"/>
  <c r="K9" i="8" s="1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K8" i="8" s="1"/>
  <c r="Y25" i="7"/>
  <c r="K14" i="8" s="1"/>
  <c r="Y26" i="7"/>
  <c r="K10" i="8" s="1"/>
  <c r="Y27" i="7"/>
  <c r="K11" i="8" s="1"/>
  <c r="Y28" i="7"/>
  <c r="K12" i="8" s="1"/>
  <c r="Y29" i="7"/>
  <c r="Y30" i="7"/>
  <c r="Y31" i="7"/>
  <c r="Y32" i="7"/>
  <c r="K13" i="8" s="1"/>
  <c r="Y33" i="7"/>
  <c r="Y34" i="7"/>
  <c r="K5" i="8" s="1"/>
  <c r="Y35" i="7"/>
  <c r="K6" i="8" s="1"/>
  <c r="Y6" i="7"/>
  <c r="K4" i="8" s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4" i="8"/>
  <c r="AA36" i="7" l="1"/>
  <c r="Z36" i="7"/>
  <c r="AA37" i="7"/>
  <c r="Z37" i="7"/>
  <c r="Y37" i="7"/>
  <c r="K18" i="8" s="1"/>
  <c r="Y36" i="7"/>
  <c r="K17" i="8" s="1"/>
  <c r="AB36" i="7" l="1"/>
  <c r="L17" i="8" s="1"/>
  <c r="AB37" i="7"/>
  <c r="L18" i="8" s="1"/>
  <c r="Q6" i="7"/>
  <c r="G6" i="8" s="1"/>
  <c r="Q7" i="7"/>
  <c r="G9" i="8" s="1"/>
  <c r="Q8" i="7"/>
  <c r="G4" i="8" s="1"/>
  <c r="Q9" i="7"/>
  <c r="G5" i="8" s="1"/>
  <c r="Q10" i="7"/>
  <c r="G8" i="8" s="1"/>
  <c r="Q11" i="7"/>
  <c r="G16" i="8" s="1"/>
  <c r="Q12" i="7"/>
  <c r="G15" i="8" s="1"/>
  <c r="Q13" i="7"/>
  <c r="G12" i="8" s="1"/>
  <c r="Q14" i="7"/>
  <c r="G10" i="8" s="1"/>
  <c r="Q15" i="7"/>
  <c r="G14" i="8" s="1"/>
  <c r="Q16" i="7"/>
  <c r="G13" i="8" s="1"/>
  <c r="Q17" i="7"/>
  <c r="G11" i="8" s="1"/>
  <c r="Q18" i="7"/>
  <c r="Q19" i="7"/>
  <c r="P24" i="7" s="1"/>
  <c r="Q20" i="7" s="1"/>
  <c r="G17" i="8" s="1"/>
  <c r="Q21" i="7"/>
  <c r="G18" i="8" s="1"/>
  <c r="Q5" i="7"/>
  <c r="G7" i="8" s="1"/>
  <c r="C37" i="7" l="1"/>
  <c r="C36" i="7"/>
  <c r="M54" i="8"/>
  <c r="L54" i="8"/>
  <c r="K54" i="8"/>
  <c r="J54" i="8"/>
  <c r="H54" i="8"/>
  <c r="G54" i="8"/>
  <c r="F54" i="8"/>
  <c r="E54" i="8"/>
  <c r="M53" i="8"/>
  <c r="L53" i="8"/>
  <c r="K53" i="8"/>
  <c r="J53" i="8"/>
  <c r="H53" i="8"/>
  <c r="G53" i="8"/>
  <c r="F53" i="8"/>
  <c r="E53" i="8"/>
  <c r="M52" i="8"/>
  <c r="L52" i="8"/>
  <c r="K52" i="8"/>
  <c r="J52" i="8"/>
  <c r="H52" i="8"/>
  <c r="G52" i="8"/>
  <c r="F52" i="8"/>
  <c r="E52" i="8"/>
  <c r="M51" i="8"/>
  <c r="L51" i="8"/>
  <c r="K51" i="8"/>
  <c r="J51" i="8"/>
  <c r="H51" i="8"/>
  <c r="G51" i="8"/>
  <c r="F51" i="8"/>
  <c r="E51" i="8"/>
  <c r="M50" i="8"/>
  <c r="L50" i="8"/>
  <c r="K50" i="8"/>
  <c r="J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M47" i="8"/>
  <c r="L47" i="8"/>
  <c r="K47" i="8"/>
  <c r="J47" i="8"/>
  <c r="I47" i="8"/>
  <c r="H47" i="8"/>
  <c r="G47" i="8"/>
  <c r="F47" i="8"/>
  <c r="E47" i="8"/>
  <c r="M46" i="8"/>
  <c r="L46" i="8"/>
  <c r="K46" i="8"/>
  <c r="J46" i="8"/>
  <c r="I46" i="8"/>
  <c r="H46" i="8"/>
  <c r="G46" i="8"/>
  <c r="F46" i="8"/>
  <c r="E46" i="8"/>
  <c r="M45" i="8"/>
  <c r="L45" i="8"/>
  <c r="K45" i="8"/>
  <c r="J45" i="8"/>
  <c r="I45" i="8"/>
  <c r="H45" i="8"/>
  <c r="G45" i="8"/>
  <c r="F45" i="8"/>
  <c r="E45" i="8"/>
  <c r="M44" i="8"/>
  <c r="L44" i="8"/>
  <c r="K44" i="8"/>
  <c r="J44" i="8"/>
  <c r="I44" i="8"/>
  <c r="H44" i="8"/>
  <c r="G44" i="8"/>
  <c r="F44" i="8"/>
  <c r="E44" i="8"/>
  <c r="M43" i="8"/>
  <c r="L43" i="8"/>
  <c r="K43" i="8"/>
  <c r="J43" i="8"/>
  <c r="I43" i="8"/>
  <c r="H43" i="8"/>
  <c r="G43" i="8"/>
  <c r="F43" i="8"/>
  <c r="E43" i="8"/>
  <c r="M42" i="8"/>
  <c r="L42" i="8"/>
  <c r="K42" i="8"/>
  <c r="J42" i="8"/>
  <c r="I42" i="8"/>
  <c r="H42" i="8"/>
  <c r="G42" i="8"/>
  <c r="F42" i="8"/>
  <c r="E42" i="8"/>
  <c r="M41" i="8"/>
  <c r="L41" i="8"/>
  <c r="K41" i="8"/>
  <c r="J41" i="8"/>
  <c r="I41" i="8"/>
  <c r="H41" i="8"/>
  <c r="G41" i="8"/>
  <c r="F41" i="8"/>
  <c r="E41" i="8"/>
  <c r="M40" i="8"/>
  <c r="L40" i="8"/>
  <c r="K40" i="8"/>
  <c r="J40" i="8"/>
  <c r="I40" i="8"/>
  <c r="H40" i="8"/>
  <c r="G40" i="8"/>
  <c r="F40" i="8"/>
  <c r="E40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22" i="8"/>
  <c r="J16" i="7"/>
  <c r="L16" i="7" s="1"/>
  <c r="D17" i="8" s="1"/>
  <c r="D53" i="8" s="1"/>
  <c r="J15" i="7"/>
  <c r="L15" i="7" s="1"/>
  <c r="D13" i="8" s="1"/>
  <c r="D49" i="8" s="1"/>
  <c r="J14" i="7"/>
  <c r="L14" i="7" s="1"/>
  <c r="D15" i="8" s="1"/>
  <c r="D51" i="8" s="1"/>
  <c r="J13" i="7"/>
  <c r="L13" i="7" s="1"/>
  <c r="D12" i="8" s="1"/>
  <c r="D48" i="8" s="1"/>
  <c r="J12" i="7"/>
  <c r="L12" i="7" s="1"/>
  <c r="D11" i="8" s="1"/>
  <c r="D47" i="8" s="1"/>
  <c r="J11" i="7"/>
  <c r="L11" i="7" s="1"/>
  <c r="D14" i="8" s="1"/>
  <c r="D50" i="8" s="1"/>
  <c r="J10" i="7"/>
  <c r="L10" i="7" s="1"/>
  <c r="D10" i="8" s="1"/>
  <c r="D46" i="8" s="1"/>
  <c r="J9" i="7"/>
  <c r="L9" i="7" s="1"/>
  <c r="D16" i="8" s="1"/>
  <c r="D52" i="8" s="1"/>
  <c r="J8" i="7"/>
  <c r="L8" i="7" s="1"/>
  <c r="D9" i="8" s="1"/>
  <c r="D45" i="8" s="1"/>
  <c r="J7" i="7"/>
  <c r="L7" i="7" s="1"/>
  <c r="D5" i="8" s="1"/>
  <c r="D41" i="8" s="1"/>
  <c r="J6" i="7"/>
  <c r="L6" i="7" s="1"/>
  <c r="D8" i="8" s="1"/>
  <c r="D44" i="8" s="1"/>
  <c r="J5" i="7"/>
  <c r="L5" i="7" s="1"/>
  <c r="D7" i="8" s="1"/>
  <c r="D43" i="8" s="1"/>
  <c r="J4" i="7"/>
  <c r="L4" i="7" s="1"/>
  <c r="D6" i="8" s="1"/>
  <c r="D42" i="8" s="1"/>
  <c r="J3" i="7"/>
  <c r="L3" i="7" s="1"/>
  <c r="D4" i="8" s="1"/>
  <c r="D40" i="8" s="1"/>
  <c r="G16" i="7"/>
  <c r="I16" i="7" s="1"/>
  <c r="C17" i="8" s="1"/>
  <c r="C53" i="8" s="1"/>
  <c r="G15" i="7"/>
  <c r="I15" i="7" s="1"/>
  <c r="C13" i="8" s="1"/>
  <c r="C49" i="8" s="1"/>
  <c r="G14" i="7"/>
  <c r="I14" i="7" s="1"/>
  <c r="C15" i="8" s="1"/>
  <c r="C51" i="8" s="1"/>
  <c r="G13" i="7"/>
  <c r="I13" i="7" s="1"/>
  <c r="C12" i="8" s="1"/>
  <c r="C48" i="8" s="1"/>
  <c r="G12" i="7"/>
  <c r="I12" i="7" s="1"/>
  <c r="C11" i="8" s="1"/>
  <c r="C47" i="8" s="1"/>
  <c r="G11" i="7"/>
  <c r="I11" i="7" s="1"/>
  <c r="C14" i="8" s="1"/>
  <c r="C50" i="8" s="1"/>
  <c r="G10" i="7"/>
  <c r="I10" i="7" s="1"/>
  <c r="C10" i="8" s="1"/>
  <c r="C46" i="8" s="1"/>
  <c r="G9" i="7"/>
  <c r="I9" i="7" s="1"/>
  <c r="C16" i="8" s="1"/>
  <c r="C52" i="8" s="1"/>
  <c r="G8" i="7"/>
  <c r="I8" i="7" s="1"/>
  <c r="C9" i="8" s="1"/>
  <c r="C45" i="8" s="1"/>
  <c r="G7" i="7"/>
  <c r="I7" i="7" s="1"/>
  <c r="C5" i="8" s="1"/>
  <c r="C41" i="8" s="1"/>
  <c r="G6" i="7"/>
  <c r="I6" i="7" s="1"/>
  <c r="C8" i="8" s="1"/>
  <c r="C44" i="8" s="1"/>
  <c r="G5" i="7"/>
  <c r="I5" i="7" s="1"/>
  <c r="C7" i="8" s="1"/>
  <c r="C43" i="8" s="1"/>
  <c r="G4" i="7"/>
  <c r="I4" i="7" s="1"/>
  <c r="C6" i="8" s="1"/>
  <c r="C42" i="8" s="1"/>
  <c r="G3" i="7"/>
  <c r="I3" i="7" s="1"/>
  <c r="C4" i="8" s="1"/>
  <c r="C40" i="8" s="1"/>
  <c r="C35" i="7"/>
  <c r="D8" i="7" s="1"/>
  <c r="Y18" i="4"/>
  <c r="G18" i="5" s="1"/>
  <c r="D30" i="7" l="1"/>
  <c r="D24" i="7"/>
  <c r="BC17" i="7" s="1"/>
  <c r="D22" i="7"/>
  <c r="W45" i="7" s="1"/>
  <c r="D6" i="7"/>
  <c r="D23" i="7"/>
  <c r="BH13" i="7" s="1"/>
  <c r="D5" i="7"/>
  <c r="D16" i="7"/>
  <c r="D15" i="7"/>
  <c r="D14" i="7"/>
  <c r="D32" i="7"/>
  <c r="D31" i="7"/>
  <c r="D7" i="7"/>
  <c r="D13" i="7"/>
  <c r="D3" i="7"/>
  <c r="D28" i="7"/>
  <c r="D20" i="7"/>
  <c r="D11" i="7"/>
  <c r="D12" i="7"/>
  <c r="D36" i="7"/>
  <c r="D37" i="7"/>
  <c r="D35" i="7"/>
  <c r="D19" i="7"/>
  <c r="D34" i="7"/>
  <c r="D26" i="7"/>
  <c r="D18" i="7"/>
  <c r="D9" i="7"/>
  <c r="D29" i="7"/>
  <c r="D21" i="7"/>
  <c r="D4" i="7"/>
  <c r="D27" i="7"/>
  <c r="D10" i="7"/>
  <c r="D33" i="7"/>
  <c r="BH18" i="7" s="1"/>
  <c r="D25" i="7"/>
  <c r="D17" i="7"/>
  <c r="N54" i="8"/>
  <c r="D73" i="8" s="1"/>
  <c r="N52" i="8"/>
  <c r="D71" i="8" s="1"/>
  <c r="N45" i="8"/>
  <c r="D64" i="8" s="1"/>
  <c r="N42" i="8"/>
  <c r="D61" i="8" s="1"/>
  <c r="N48" i="8"/>
  <c r="D67" i="8" s="1"/>
  <c r="N41" i="8"/>
  <c r="N47" i="8"/>
  <c r="D66" i="8" s="1"/>
  <c r="N51" i="8"/>
  <c r="D70" i="8" s="1"/>
  <c r="N46" i="8"/>
  <c r="D65" i="8" s="1"/>
  <c r="N50" i="8"/>
  <c r="D69" i="8" s="1"/>
  <c r="N49" i="8"/>
  <c r="D68" i="8" s="1"/>
  <c r="N53" i="8"/>
  <c r="D72" i="8" s="1"/>
  <c r="N44" i="8"/>
  <c r="D63" i="8" s="1"/>
  <c r="N43" i="8"/>
  <c r="D62" i="8" s="1"/>
  <c r="N40" i="8"/>
  <c r="D60" i="8" s="1"/>
  <c r="AI32" i="4"/>
  <c r="AI31" i="4"/>
  <c r="E66" i="8" l="1"/>
  <c r="I31" i="7"/>
  <c r="W54" i="7"/>
  <c r="AB54" i="7"/>
  <c r="R54" i="7"/>
  <c r="E67" i="8"/>
  <c r="BH16" i="7"/>
  <c r="BM11" i="7"/>
  <c r="AL45" i="7"/>
  <c r="I32" i="7"/>
  <c r="BM12" i="7"/>
  <c r="BH8" i="7"/>
  <c r="AL50" i="7"/>
  <c r="BM18" i="7"/>
  <c r="BH5" i="7"/>
  <c r="AL53" i="7"/>
  <c r="BH19" i="7"/>
  <c r="BM15" i="7"/>
  <c r="AL46" i="7"/>
  <c r="BM6" i="7"/>
  <c r="BH7" i="7"/>
  <c r="AL43" i="7"/>
  <c r="I26" i="7"/>
  <c r="BH9" i="7"/>
  <c r="BM13" i="7"/>
  <c r="AL44" i="7"/>
  <c r="I30" i="7"/>
  <c r="BM8" i="7"/>
  <c r="BH12" i="7"/>
  <c r="AL48" i="7"/>
  <c r="BM9" i="7"/>
  <c r="BH10" i="7"/>
  <c r="AL47" i="7"/>
  <c r="BM14" i="7"/>
  <c r="BH17" i="7"/>
  <c r="AL52" i="7"/>
  <c r="BM16" i="7"/>
  <c r="AL54" i="7"/>
  <c r="BM5" i="7"/>
  <c r="BH6" i="7"/>
  <c r="AL41" i="7"/>
  <c r="BM17" i="7"/>
  <c r="BH14" i="7"/>
  <c r="AL49" i="7"/>
  <c r="BH15" i="7"/>
  <c r="BM7" i="7"/>
  <c r="AL42" i="7"/>
  <c r="BM19" i="7"/>
  <c r="AL55" i="7"/>
  <c r="BM10" i="7"/>
  <c r="BH11" i="7"/>
  <c r="AL51" i="7"/>
  <c r="AB49" i="7"/>
  <c r="E62" i="8"/>
  <c r="BC7" i="7"/>
  <c r="W50" i="7"/>
  <c r="AB45" i="7"/>
  <c r="R50" i="7"/>
  <c r="R45" i="7"/>
  <c r="AB50" i="7"/>
  <c r="BC16" i="7"/>
  <c r="E68" i="8"/>
  <c r="BC14" i="7"/>
  <c r="W49" i="7"/>
  <c r="R49" i="7"/>
  <c r="W51" i="7"/>
  <c r="AB51" i="7"/>
  <c r="BC10" i="7"/>
  <c r="R51" i="7"/>
  <c r="E70" i="8"/>
  <c r="I34" i="7"/>
  <c r="BC18" i="7"/>
  <c r="R56" i="7"/>
  <c r="W56" i="7"/>
  <c r="AB56" i="7"/>
  <c r="E73" i="8"/>
  <c r="R44" i="7"/>
  <c r="W44" i="7"/>
  <c r="BC13" i="7"/>
  <c r="AB44" i="7"/>
  <c r="I24" i="7"/>
  <c r="BC5" i="7"/>
  <c r="R42" i="7"/>
  <c r="W42" i="7"/>
  <c r="AB42" i="7"/>
  <c r="E60" i="8"/>
  <c r="I23" i="7"/>
  <c r="R46" i="7"/>
  <c r="W46" i="7"/>
  <c r="BC15" i="7"/>
  <c r="AB46" i="7"/>
  <c r="E65" i="8"/>
  <c r="I29" i="7"/>
  <c r="W43" i="7"/>
  <c r="BC6" i="7"/>
  <c r="R43" i="7"/>
  <c r="AB43" i="7"/>
  <c r="E61" i="8"/>
  <c r="I25" i="7"/>
  <c r="R48" i="7"/>
  <c r="BC12" i="7"/>
  <c r="W48" i="7"/>
  <c r="AB48" i="7"/>
  <c r="E63" i="8"/>
  <c r="I27" i="7"/>
  <c r="R47" i="7"/>
  <c r="BC11" i="7"/>
  <c r="W47" i="7"/>
  <c r="AB47" i="7"/>
  <c r="E69" i="8"/>
  <c r="I33" i="7"/>
  <c r="R53" i="7"/>
  <c r="W53" i="7"/>
  <c r="AB53" i="7"/>
  <c r="BC19" i="7"/>
  <c r="E72" i="8"/>
  <c r="I36" i="7"/>
  <c r="BC9" i="7"/>
  <c r="R55" i="7"/>
  <c r="W55" i="7"/>
  <c r="AB55" i="7"/>
  <c r="E71" i="8"/>
  <c r="I35" i="7"/>
  <c r="R52" i="7"/>
  <c r="BC8" i="7"/>
  <c r="W52" i="7"/>
  <c r="AB52" i="7"/>
  <c r="E64" i="8"/>
  <c r="I28" i="7"/>
  <c r="AD31" i="4"/>
  <c r="AD32" i="4"/>
  <c r="Z38" i="4"/>
  <c r="Z37" i="4"/>
  <c r="Z36" i="4"/>
  <c r="Z35" i="4"/>
  <c r="Z34" i="4"/>
  <c r="Z33" i="4"/>
  <c r="Z32" i="4"/>
  <c r="W41" i="4" s="1"/>
  <c r="Z24" i="4"/>
  <c r="Z25" i="4"/>
  <c r="Z26" i="4"/>
  <c r="Z27" i="4"/>
  <c r="Z28" i="4"/>
  <c r="Z29" i="4"/>
  <c r="Z23" i="4"/>
  <c r="V41" i="4" s="1"/>
  <c r="J23" i="7" l="1"/>
  <c r="BO7" i="7"/>
  <c r="BO6" i="7"/>
  <c r="BO5" i="7"/>
  <c r="BM20" i="7"/>
  <c r="J24" i="7"/>
  <c r="W42" i="4"/>
  <c r="V42" i="4"/>
  <c r="Y41" i="4"/>
  <c r="Y12" i="4"/>
  <c r="Y13" i="4"/>
  <c r="Y14" i="4"/>
  <c r="Y11" i="4"/>
  <c r="Y6" i="4"/>
  <c r="Y7" i="4"/>
  <c r="Y8" i="4"/>
  <c r="Y5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23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5" i="4"/>
  <c r="S36" i="4" l="1"/>
  <c r="S28" i="4"/>
  <c r="BO8" i="7"/>
  <c r="BO9" i="7" s="1"/>
  <c r="S30" i="4"/>
  <c r="G15" i="5" s="1"/>
  <c r="G51" i="5" s="1"/>
  <c r="S23" i="4"/>
  <c r="G7" i="5" s="1"/>
  <c r="G43" i="5" s="1"/>
  <c r="S29" i="4"/>
  <c r="G16" i="5" s="1"/>
  <c r="G52" i="5" s="1"/>
  <c r="S35" i="4"/>
  <c r="G11" i="5" s="1"/>
  <c r="G47" i="5" s="1"/>
  <c r="S27" i="4"/>
  <c r="G5" i="5" s="1"/>
  <c r="G41" i="5" s="1"/>
  <c r="Y42" i="4"/>
  <c r="V16" i="4"/>
  <c r="S34" i="4"/>
  <c r="G13" i="5" s="1"/>
  <c r="G49" i="5" s="1"/>
  <c r="S26" i="4"/>
  <c r="G4" i="5" s="1"/>
  <c r="G40" i="5" s="1"/>
  <c r="S32" i="4"/>
  <c r="G10" i="5" s="1"/>
  <c r="G46" i="5" s="1"/>
  <c r="S24" i="4"/>
  <c r="G6" i="5" s="1"/>
  <c r="G42" i="5" s="1"/>
  <c r="S33" i="4"/>
  <c r="G14" i="5" s="1"/>
  <c r="G50" i="5" s="1"/>
  <c r="S25" i="4"/>
  <c r="G9" i="5" s="1"/>
  <c r="G45" i="5" s="1"/>
  <c r="S31" i="4"/>
  <c r="G12" i="5" s="1"/>
  <c r="G48" i="5" s="1"/>
  <c r="U16" i="4"/>
  <c r="C5" i="5"/>
  <c r="C41" i="5" s="1"/>
  <c r="C6" i="5"/>
  <c r="C42" i="5" s="1"/>
  <c r="C7" i="5"/>
  <c r="C43" i="5" s="1"/>
  <c r="C44" i="5"/>
  <c r="C9" i="5"/>
  <c r="C45" i="5" s="1"/>
  <c r="C10" i="5"/>
  <c r="C46" i="5" s="1"/>
  <c r="C11" i="5"/>
  <c r="C47" i="5" s="1"/>
  <c r="C12" i="5"/>
  <c r="C48" i="5" s="1"/>
  <c r="C13" i="5"/>
  <c r="C49" i="5" s="1"/>
  <c r="C14" i="5"/>
  <c r="C50" i="5" s="1"/>
  <c r="C15" i="5"/>
  <c r="C51" i="5" s="1"/>
  <c r="C16" i="5"/>
  <c r="C52" i="5" s="1"/>
  <c r="C17" i="5"/>
  <c r="C53" i="5" s="1"/>
  <c r="D5" i="5"/>
  <c r="D41" i="5" s="1"/>
  <c r="D6" i="5"/>
  <c r="D42" i="5" s="1"/>
  <c r="D7" i="5"/>
  <c r="D43" i="5" s="1"/>
  <c r="D44" i="5"/>
  <c r="D9" i="5"/>
  <c r="D45" i="5" s="1"/>
  <c r="D10" i="5"/>
  <c r="D46" i="5" s="1"/>
  <c r="D11" i="5"/>
  <c r="D47" i="5" s="1"/>
  <c r="D12" i="5"/>
  <c r="D48" i="5" s="1"/>
  <c r="D13" i="5"/>
  <c r="D49" i="5" s="1"/>
  <c r="D14" i="5"/>
  <c r="D50" i="5" s="1"/>
  <c r="D15" i="5"/>
  <c r="D51" i="5" s="1"/>
  <c r="D16" i="5"/>
  <c r="D52" i="5" s="1"/>
  <c r="D17" i="5"/>
  <c r="D53" i="5" s="1"/>
  <c r="D4" i="5"/>
  <c r="C4" i="5"/>
  <c r="J54" i="5"/>
  <c r="M54" i="5"/>
  <c r="E54" i="5"/>
  <c r="F54" i="5"/>
  <c r="H54" i="5"/>
  <c r="E40" i="5"/>
  <c r="F40" i="5"/>
  <c r="H40" i="5"/>
  <c r="I40" i="5"/>
  <c r="J40" i="5"/>
  <c r="M40" i="5"/>
  <c r="E41" i="5"/>
  <c r="F41" i="5"/>
  <c r="H41" i="5"/>
  <c r="I41" i="5"/>
  <c r="J41" i="5"/>
  <c r="M41" i="5"/>
  <c r="E42" i="5"/>
  <c r="F42" i="5"/>
  <c r="H42" i="5"/>
  <c r="I42" i="5"/>
  <c r="J42" i="5"/>
  <c r="M42" i="5"/>
  <c r="E43" i="5"/>
  <c r="F43" i="5"/>
  <c r="H43" i="5"/>
  <c r="I43" i="5"/>
  <c r="J43" i="5"/>
  <c r="M43" i="5"/>
  <c r="E44" i="5"/>
  <c r="F44" i="5"/>
  <c r="G44" i="5"/>
  <c r="H44" i="5"/>
  <c r="I44" i="5"/>
  <c r="J44" i="5"/>
  <c r="M44" i="5"/>
  <c r="E45" i="5"/>
  <c r="F45" i="5"/>
  <c r="H45" i="5"/>
  <c r="I45" i="5"/>
  <c r="J45" i="5"/>
  <c r="M45" i="5"/>
  <c r="E46" i="5"/>
  <c r="F46" i="5"/>
  <c r="H46" i="5"/>
  <c r="I46" i="5"/>
  <c r="J46" i="5"/>
  <c r="M46" i="5"/>
  <c r="E47" i="5"/>
  <c r="F47" i="5"/>
  <c r="H47" i="5"/>
  <c r="I47" i="5"/>
  <c r="J47" i="5"/>
  <c r="M47" i="5"/>
  <c r="E48" i="5"/>
  <c r="F48" i="5"/>
  <c r="H48" i="5"/>
  <c r="I48" i="5"/>
  <c r="J48" i="5"/>
  <c r="M48" i="5"/>
  <c r="E49" i="5"/>
  <c r="F49" i="5"/>
  <c r="H49" i="5"/>
  <c r="I49" i="5"/>
  <c r="J49" i="5"/>
  <c r="M49" i="5"/>
  <c r="E50" i="5"/>
  <c r="F50" i="5"/>
  <c r="H50" i="5"/>
  <c r="J50" i="5"/>
  <c r="M50" i="5"/>
  <c r="E51" i="5"/>
  <c r="F51" i="5"/>
  <c r="H51" i="5"/>
  <c r="J51" i="5"/>
  <c r="M51" i="5"/>
  <c r="E52" i="5"/>
  <c r="F52" i="5"/>
  <c r="H52" i="5"/>
  <c r="J52" i="5"/>
  <c r="M52" i="5"/>
  <c r="E53" i="5"/>
  <c r="F53" i="5"/>
  <c r="G53" i="5"/>
  <c r="H53" i="5"/>
  <c r="J53" i="5"/>
  <c r="M53" i="5"/>
  <c r="N22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H44" i="4"/>
  <c r="J44" i="4" s="1"/>
  <c r="H45" i="4"/>
  <c r="J45" i="4" s="1"/>
  <c r="H46" i="4"/>
  <c r="J46" i="4" s="1"/>
  <c r="H47" i="4"/>
  <c r="J47" i="4" s="1"/>
  <c r="H48" i="4"/>
  <c r="J48" i="4" s="1"/>
  <c r="H49" i="4"/>
  <c r="J49" i="4" s="1"/>
  <c r="H50" i="4"/>
  <c r="J50" i="4" s="1"/>
  <c r="H51" i="4"/>
  <c r="J51" i="4" s="1"/>
  <c r="H52" i="4"/>
  <c r="J52" i="4" s="1"/>
  <c r="H53" i="4"/>
  <c r="J53" i="4" s="1"/>
  <c r="H54" i="4"/>
  <c r="J54" i="4" s="1"/>
  <c r="H55" i="4"/>
  <c r="J55" i="4" s="1"/>
  <c r="H56" i="4"/>
  <c r="J56" i="4" s="1"/>
  <c r="K44" i="4"/>
  <c r="M44" i="4" s="1"/>
  <c r="K45" i="4"/>
  <c r="M45" i="4" s="1"/>
  <c r="K46" i="4"/>
  <c r="M46" i="4" s="1"/>
  <c r="K47" i="4"/>
  <c r="M47" i="4" s="1"/>
  <c r="K48" i="4"/>
  <c r="M48" i="4" s="1"/>
  <c r="K49" i="4"/>
  <c r="M49" i="4" s="1"/>
  <c r="K50" i="4"/>
  <c r="M50" i="4" s="1"/>
  <c r="K51" i="4"/>
  <c r="M51" i="4" s="1"/>
  <c r="K52" i="4"/>
  <c r="M52" i="4" s="1"/>
  <c r="K53" i="4"/>
  <c r="M53" i="4" s="1"/>
  <c r="K54" i="4"/>
  <c r="M54" i="4" s="1"/>
  <c r="K55" i="4"/>
  <c r="M55" i="4" s="1"/>
  <c r="K56" i="4"/>
  <c r="M56" i="4" s="1"/>
  <c r="K43" i="4"/>
  <c r="M43" i="4" s="1"/>
  <c r="H43" i="4"/>
  <c r="J43" i="4" s="1"/>
  <c r="E73" i="4"/>
  <c r="E76" i="4"/>
  <c r="E64" i="4"/>
  <c r="J83" i="4" s="1"/>
  <c r="E63" i="4"/>
  <c r="J82" i="4" s="1"/>
  <c r="E71" i="4"/>
  <c r="J90" i="4" s="1"/>
  <c r="E68" i="4"/>
  <c r="J87" i="4" s="1"/>
  <c r="E72" i="4"/>
  <c r="J91" i="4" s="1"/>
  <c r="E66" i="4"/>
  <c r="J85" i="4" s="1"/>
  <c r="E65" i="4"/>
  <c r="J84" i="4" s="1"/>
  <c r="E74" i="4"/>
  <c r="J93" i="4" s="1"/>
  <c r="E69" i="4"/>
  <c r="J88" i="4" s="1"/>
  <c r="E67" i="4"/>
  <c r="J86" i="4" s="1"/>
  <c r="E70" i="4"/>
  <c r="J89" i="4" s="1"/>
  <c r="E75" i="4"/>
  <c r="J94" i="4" s="1"/>
  <c r="E62" i="4"/>
  <c r="J81" i="4" s="1"/>
  <c r="E73" i="5" l="1"/>
  <c r="J95" i="4"/>
  <c r="E72" i="5"/>
  <c r="J92" i="4"/>
  <c r="E71" i="5"/>
  <c r="O62" i="4"/>
  <c r="E63" i="5"/>
  <c r="O73" i="4"/>
  <c r="E70" i="5"/>
  <c r="O74" i="4"/>
  <c r="E62" i="5"/>
  <c r="O66" i="4"/>
  <c r="E69" i="5"/>
  <c r="O68" i="4"/>
  <c r="E61" i="5"/>
  <c r="O64" i="4"/>
  <c r="E68" i="5"/>
  <c r="O65" i="4"/>
  <c r="J66" i="4"/>
  <c r="O72" i="4"/>
  <c r="E66" i="5"/>
  <c r="O69" i="4"/>
  <c r="E65" i="5"/>
  <c r="O67" i="4"/>
  <c r="E67" i="5"/>
  <c r="O71" i="4"/>
  <c r="E60" i="5"/>
  <c r="O63" i="4"/>
  <c r="E64" i="5"/>
  <c r="O76" i="4"/>
  <c r="W16" i="4"/>
  <c r="G54" i="5" s="1"/>
  <c r="J69" i="4"/>
  <c r="J64" i="4"/>
  <c r="J72" i="4"/>
  <c r="J71" i="4"/>
  <c r="J63" i="4"/>
  <c r="J70" i="4"/>
  <c r="J62" i="4"/>
  <c r="J68" i="4"/>
  <c r="J75" i="4"/>
  <c r="J67" i="4"/>
  <c r="J74" i="4"/>
  <c r="J73" i="4"/>
  <c r="J65" i="4"/>
  <c r="D40" i="5"/>
  <c r="C40" i="5"/>
  <c r="K37" i="4"/>
  <c r="K36" i="4"/>
  <c r="J37" i="4"/>
  <c r="I37" i="4"/>
  <c r="J36" i="4"/>
  <c r="I36" i="4"/>
  <c r="D37" i="4"/>
  <c r="D36" i="4"/>
  <c r="C37" i="4"/>
  <c r="C36" i="4"/>
  <c r="H6" i="4"/>
  <c r="C55" i="4" s="1"/>
  <c r="L16" i="5" s="1"/>
  <c r="L52" i="5" s="1"/>
  <c r="H7" i="4"/>
  <c r="C46" i="4" s="1"/>
  <c r="L7" i="5" s="1"/>
  <c r="L43" i="5" s="1"/>
  <c r="H8" i="4"/>
  <c r="C54" i="4" s="1"/>
  <c r="L15" i="5" s="1"/>
  <c r="L51" i="5" s="1"/>
  <c r="H9" i="4"/>
  <c r="C48" i="4" s="1"/>
  <c r="L9" i="5" s="1"/>
  <c r="L45" i="5" s="1"/>
  <c r="H10" i="4"/>
  <c r="H11" i="4"/>
  <c r="H13" i="4"/>
  <c r="H15" i="4"/>
  <c r="H16" i="4"/>
  <c r="H17" i="4"/>
  <c r="H20" i="4"/>
  <c r="H22" i="4"/>
  <c r="H23" i="4"/>
  <c r="C47" i="4" s="1"/>
  <c r="L44" i="5" s="1"/>
  <c r="H24" i="4"/>
  <c r="C53" i="4" s="1"/>
  <c r="L14" i="5" s="1"/>
  <c r="L50" i="5" s="1"/>
  <c r="H25" i="4"/>
  <c r="C49" i="4" s="1"/>
  <c r="L10" i="5" s="1"/>
  <c r="L46" i="5" s="1"/>
  <c r="H26" i="4"/>
  <c r="C50" i="4" s="1"/>
  <c r="L11" i="5" s="1"/>
  <c r="L47" i="5" s="1"/>
  <c r="H27" i="4"/>
  <c r="C51" i="4" s="1"/>
  <c r="L12" i="5" s="1"/>
  <c r="L48" i="5" s="1"/>
  <c r="H31" i="4"/>
  <c r="C52" i="4" s="1"/>
  <c r="L13" i="5" s="1"/>
  <c r="L49" i="5" s="1"/>
  <c r="H33" i="4"/>
  <c r="C44" i="4" s="1"/>
  <c r="L5" i="5" s="1"/>
  <c r="L41" i="5" s="1"/>
  <c r="H34" i="4"/>
  <c r="C45" i="4" s="1"/>
  <c r="L6" i="5" s="1"/>
  <c r="L42" i="5" s="1"/>
  <c r="H5" i="4"/>
  <c r="C43" i="4" s="1"/>
  <c r="L4" i="5" s="1"/>
  <c r="L40" i="5" s="1"/>
  <c r="E6" i="4"/>
  <c r="D55" i="4" s="1"/>
  <c r="K16" i="5" s="1"/>
  <c r="K52" i="5" s="1"/>
  <c r="E7" i="4"/>
  <c r="D46" i="4" s="1"/>
  <c r="K7" i="5" s="1"/>
  <c r="K43" i="5" s="1"/>
  <c r="E8" i="4"/>
  <c r="D54" i="4" s="1"/>
  <c r="K15" i="5" s="1"/>
  <c r="K51" i="5" s="1"/>
  <c r="E9" i="4"/>
  <c r="D48" i="4" s="1"/>
  <c r="K9" i="5" s="1"/>
  <c r="K45" i="5" s="1"/>
  <c r="E17" i="4"/>
  <c r="E22" i="4"/>
  <c r="E23" i="4"/>
  <c r="D47" i="4" s="1"/>
  <c r="K44" i="5" s="1"/>
  <c r="E24" i="4"/>
  <c r="D53" i="4" s="1"/>
  <c r="K14" i="5" s="1"/>
  <c r="K50" i="5" s="1"/>
  <c r="E25" i="4"/>
  <c r="D49" i="4" s="1"/>
  <c r="K10" i="5" s="1"/>
  <c r="K46" i="5" s="1"/>
  <c r="E26" i="4"/>
  <c r="D50" i="4" s="1"/>
  <c r="K11" i="5" s="1"/>
  <c r="K47" i="5" s="1"/>
  <c r="E27" i="4"/>
  <c r="D51" i="4" s="1"/>
  <c r="K12" i="5" s="1"/>
  <c r="K48" i="5" s="1"/>
  <c r="E28" i="4"/>
  <c r="E29" i="4"/>
  <c r="E30" i="4"/>
  <c r="E31" i="4"/>
  <c r="D52" i="4" s="1"/>
  <c r="K13" i="5" s="1"/>
  <c r="K49" i="5" s="1"/>
  <c r="E32" i="4"/>
  <c r="E33" i="4"/>
  <c r="D44" i="4" s="1"/>
  <c r="K5" i="5" s="1"/>
  <c r="K41" i="5" s="1"/>
  <c r="E34" i="4"/>
  <c r="D45" i="4" s="1"/>
  <c r="K6" i="5" s="1"/>
  <c r="K42" i="5" s="1"/>
  <c r="E5" i="4"/>
  <c r="D43" i="4" s="1"/>
  <c r="K4" i="5" s="1"/>
  <c r="K40" i="5" s="1"/>
  <c r="K51" i="1"/>
  <c r="K50" i="1"/>
  <c r="K49" i="1"/>
  <c r="K48" i="1"/>
  <c r="K47" i="1"/>
  <c r="I56" i="1"/>
  <c r="I48" i="1"/>
  <c r="I44" i="1"/>
  <c r="I42" i="1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5" i="2"/>
  <c r="J56" i="1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5" i="2"/>
  <c r="Q25" i="1"/>
  <c r="Q26" i="1"/>
  <c r="Q27" i="1"/>
  <c r="Q28" i="1"/>
  <c r="Q29" i="1"/>
  <c r="Q30" i="1"/>
  <c r="Q31" i="1"/>
  <c r="Q32" i="1"/>
  <c r="Q33" i="1"/>
  <c r="Q34" i="1"/>
  <c r="Q35" i="1"/>
  <c r="Q36" i="1"/>
  <c r="Q24" i="1"/>
  <c r="P6" i="1"/>
  <c r="P43" i="1" s="1"/>
  <c r="P7" i="1"/>
  <c r="P8" i="1"/>
  <c r="P45" i="1" s="1"/>
  <c r="P9" i="1"/>
  <c r="P46" i="1" s="1"/>
  <c r="P10" i="1"/>
  <c r="P11" i="1"/>
  <c r="P48" i="1" s="1"/>
  <c r="P12" i="1"/>
  <c r="P49" i="1" s="1"/>
  <c r="P13" i="1"/>
  <c r="P50" i="1" s="1"/>
  <c r="P14" i="1"/>
  <c r="P51" i="1" s="1"/>
  <c r="P15" i="1"/>
  <c r="P52" i="1" s="1"/>
  <c r="P16" i="1"/>
  <c r="P53" i="1" s="1"/>
  <c r="P17" i="1"/>
  <c r="P54" i="1" s="1"/>
  <c r="P18" i="1"/>
  <c r="P55" i="1" s="1"/>
  <c r="P19" i="1"/>
  <c r="P56" i="1" s="1"/>
  <c r="P5" i="1"/>
  <c r="P42" i="1" s="1"/>
  <c r="O6" i="1"/>
  <c r="O43" i="1" s="1"/>
  <c r="O7" i="1"/>
  <c r="O44" i="1" s="1"/>
  <c r="O8" i="1"/>
  <c r="O45" i="1" s="1"/>
  <c r="O9" i="1"/>
  <c r="O46" i="1" s="1"/>
  <c r="O10" i="1"/>
  <c r="O47" i="1" s="1"/>
  <c r="O11" i="1"/>
  <c r="O48" i="1" s="1"/>
  <c r="O12" i="1"/>
  <c r="O49" i="1" s="1"/>
  <c r="O13" i="1"/>
  <c r="O50" i="1" s="1"/>
  <c r="O14" i="1"/>
  <c r="O51" i="1" s="1"/>
  <c r="O15" i="1"/>
  <c r="O52" i="1" s="1"/>
  <c r="O16" i="1"/>
  <c r="O53" i="1" s="1"/>
  <c r="O17" i="1"/>
  <c r="O54" i="1" s="1"/>
  <c r="O18" i="1"/>
  <c r="O55" i="1" s="1"/>
  <c r="O19" i="1"/>
  <c r="O56" i="1" s="1"/>
  <c r="N6" i="1"/>
  <c r="N43" i="1" s="1"/>
  <c r="N7" i="1"/>
  <c r="N44" i="1" s="1"/>
  <c r="N8" i="1"/>
  <c r="N45" i="1" s="1"/>
  <c r="N9" i="1"/>
  <c r="N46" i="1" s="1"/>
  <c r="N10" i="1"/>
  <c r="N47" i="1" s="1"/>
  <c r="N11" i="1"/>
  <c r="N48" i="1" s="1"/>
  <c r="N12" i="1"/>
  <c r="N49" i="1" s="1"/>
  <c r="N13" i="1"/>
  <c r="N50" i="1" s="1"/>
  <c r="N14" i="1"/>
  <c r="N51" i="1" s="1"/>
  <c r="N15" i="1"/>
  <c r="N52" i="1" s="1"/>
  <c r="N16" i="1"/>
  <c r="N53" i="1" s="1"/>
  <c r="N17" i="1"/>
  <c r="N54" i="1" s="1"/>
  <c r="N18" i="1"/>
  <c r="N55" i="1" s="1"/>
  <c r="N19" i="1"/>
  <c r="N56" i="1" s="1"/>
  <c r="O5" i="1"/>
  <c r="O42" i="1" s="1"/>
  <c r="N5" i="1"/>
  <c r="N42" i="1" s="1"/>
  <c r="G42" i="1"/>
  <c r="H42" i="1"/>
  <c r="K42" i="1"/>
  <c r="L42" i="1"/>
  <c r="M42" i="1"/>
  <c r="G43" i="1"/>
  <c r="H43" i="1"/>
  <c r="I43" i="1"/>
  <c r="K43" i="1"/>
  <c r="L43" i="1"/>
  <c r="M43" i="1"/>
  <c r="G44" i="1"/>
  <c r="H44" i="1"/>
  <c r="K44" i="1"/>
  <c r="L44" i="1"/>
  <c r="M44" i="1"/>
  <c r="P44" i="1"/>
  <c r="G45" i="1"/>
  <c r="H45" i="1"/>
  <c r="I45" i="1"/>
  <c r="K45" i="1"/>
  <c r="L45" i="1"/>
  <c r="M45" i="1"/>
  <c r="G46" i="1"/>
  <c r="H46" i="1"/>
  <c r="I46" i="1"/>
  <c r="K46" i="1"/>
  <c r="L46" i="1"/>
  <c r="M46" i="1"/>
  <c r="G47" i="1"/>
  <c r="H47" i="1"/>
  <c r="I47" i="1"/>
  <c r="L47" i="1"/>
  <c r="M47" i="1"/>
  <c r="P47" i="1"/>
  <c r="G48" i="1"/>
  <c r="H48" i="1"/>
  <c r="L48" i="1"/>
  <c r="M48" i="1"/>
  <c r="G49" i="1"/>
  <c r="H49" i="1"/>
  <c r="I49" i="1"/>
  <c r="L49" i="1"/>
  <c r="M49" i="1"/>
  <c r="G50" i="1"/>
  <c r="H50" i="1"/>
  <c r="I50" i="1"/>
  <c r="L50" i="1"/>
  <c r="M50" i="1"/>
  <c r="G51" i="1"/>
  <c r="H51" i="1"/>
  <c r="I51" i="1"/>
  <c r="L51" i="1"/>
  <c r="M51" i="1"/>
  <c r="G52" i="1"/>
  <c r="H52" i="1"/>
  <c r="I52" i="1"/>
  <c r="K52" i="1"/>
  <c r="M52" i="1"/>
  <c r="G53" i="1"/>
  <c r="H53" i="1"/>
  <c r="I53" i="1"/>
  <c r="K53" i="1"/>
  <c r="M53" i="1"/>
  <c r="G54" i="1"/>
  <c r="H54" i="1"/>
  <c r="I54" i="1"/>
  <c r="K54" i="1"/>
  <c r="M54" i="1"/>
  <c r="G55" i="1"/>
  <c r="H55" i="1"/>
  <c r="I55" i="1"/>
  <c r="J55" i="1"/>
  <c r="K55" i="1"/>
  <c r="L55" i="1"/>
  <c r="M55" i="1"/>
  <c r="G56" i="1"/>
  <c r="H56" i="1"/>
  <c r="K56" i="1"/>
  <c r="L56" i="1"/>
  <c r="M56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42" i="1"/>
  <c r="Q38" i="1"/>
  <c r="Q37" i="1"/>
  <c r="J41" i="2"/>
  <c r="J42" i="2"/>
  <c r="J43" i="2"/>
  <c r="J44" i="2"/>
  <c r="J45" i="2"/>
  <c r="J46" i="2"/>
  <c r="J47" i="2"/>
  <c r="J48" i="2"/>
  <c r="J49" i="2"/>
  <c r="J50" i="2"/>
  <c r="J51" i="2"/>
  <c r="J52" i="2"/>
  <c r="J40" i="2"/>
  <c r="I41" i="2"/>
  <c r="I42" i="2"/>
  <c r="I43" i="2"/>
  <c r="I44" i="2"/>
  <c r="I45" i="2"/>
  <c r="I46" i="2"/>
  <c r="I47" i="2"/>
  <c r="I48" i="2"/>
  <c r="I49" i="2"/>
  <c r="I50" i="2"/>
  <c r="I51" i="2"/>
  <c r="I52" i="2"/>
  <c r="I40" i="2"/>
  <c r="H41" i="2"/>
  <c r="H42" i="2"/>
  <c r="H43" i="2"/>
  <c r="H44" i="2"/>
  <c r="H45" i="2"/>
  <c r="H46" i="2"/>
  <c r="H47" i="2"/>
  <c r="H48" i="2"/>
  <c r="H49" i="2"/>
  <c r="H50" i="2"/>
  <c r="H51" i="2"/>
  <c r="H52" i="2"/>
  <c r="H40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F41" i="2"/>
  <c r="F42" i="2"/>
  <c r="F43" i="2"/>
  <c r="F44" i="2"/>
  <c r="F45" i="2"/>
  <c r="F46" i="2"/>
  <c r="F47" i="2"/>
  <c r="F48" i="2"/>
  <c r="F49" i="2"/>
  <c r="F50" i="2"/>
  <c r="F51" i="2"/>
  <c r="F52" i="2"/>
  <c r="F40" i="2"/>
  <c r="E41" i="2"/>
  <c r="E42" i="2"/>
  <c r="E43" i="2"/>
  <c r="E44" i="2"/>
  <c r="E45" i="2"/>
  <c r="E46" i="2"/>
  <c r="E47" i="2"/>
  <c r="E48" i="2"/>
  <c r="E49" i="2"/>
  <c r="E50" i="2"/>
  <c r="E51" i="2"/>
  <c r="E52" i="2"/>
  <c r="E40" i="2"/>
  <c r="D41" i="2"/>
  <c r="D42" i="2"/>
  <c r="D43" i="2"/>
  <c r="D44" i="2"/>
  <c r="D45" i="2"/>
  <c r="D46" i="2"/>
  <c r="D47" i="2"/>
  <c r="D48" i="2"/>
  <c r="D49" i="2"/>
  <c r="D50" i="2"/>
  <c r="D51" i="2"/>
  <c r="D52" i="2"/>
  <c r="D40" i="2"/>
  <c r="C41" i="2"/>
  <c r="C42" i="2"/>
  <c r="C43" i="2"/>
  <c r="C44" i="2"/>
  <c r="C45" i="2"/>
  <c r="C46" i="2"/>
  <c r="C47" i="2"/>
  <c r="C48" i="2"/>
  <c r="C49" i="2"/>
  <c r="C50" i="2"/>
  <c r="C51" i="2"/>
  <c r="C52" i="2"/>
  <c r="C40" i="2"/>
  <c r="AR7" i="2" l="1"/>
  <c r="J10" i="1" s="1"/>
  <c r="J47" i="1" s="1"/>
  <c r="Q47" i="1" s="1"/>
  <c r="F65" i="1" s="1"/>
  <c r="AR14" i="2"/>
  <c r="J11" i="1" s="1"/>
  <c r="J48" i="1" s="1"/>
  <c r="Q48" i="1" s="1"/>
  <c r="F66" i="1" s="1"/>
  <c r="AR6" i="2"/>
  <c r="J7" i="1" s="1"/>
  <c r="J44" i="1" s="1"/>
  <c r="AR12" i="2"/>
  <c r="J16" i="1" s="1"/>
  <c r="J53" i="1" s="1"/>
  <c r="Q53" i="1" s="1"/>
  <c r="F71" i="1" s="1"/>
  <c r="AR15" i="2"/>
  <c r="J15" i="1" s="1"/>
  <c r="J52" i="1" s="1"/>
  <c r="Q52" i="1" s="1"/>
  <c r="F70" i="1" s="1"/>
  <c r="AR16" i="2"/>
  <c r="J14" i="1" s="1"/>
  <c r="J51" i="1" s="1"/>
  <c r="AR8" i="2"/>
  <c r="J5" i="1" s="1"/>
  <c r="J42" i="1" s="1"/>
  <c r="Q42" i="1" s="1"/>
  <c r="F60" i="1" s="1"/>
  <c r="AR5" i="2"/>
  <c r="J8" i="1" s="1"/>
  <c r="J45" i="1" s="1"/>
  <c r="Q45" i="1" s="1"/>
  <c r="F63" i="1" s="1"/>
  <c r="AR11" i="2"/>
  <c r="J17" i="1" s="1"/>
  <c r="J54" i="1" s="1"/>
  <c r="Q54" i="1" s="1"/>
  <c r="F72" i="1" s="1"/>
  <c r="AR18" i="2"/>
  <c r="AR10" i="2"/>
  <c r="J9" i="1" s="1"/>
  <c r="J46" i="1" s="1"/>
  <c r="Q46" i="1" s="1"/>
  <c r="F64" i="1" s="1"/>
  <c r="AR17" i="2"/>
  <c r="J12" i="1" s="1"/>
  <c r="J49" i="1" s="1"/>
  <c r="Q49" i="1" s="1"/>
  <c r="F67" i="1" s="1"/>
  <c r="AR13" i="2"/>
  <c r="J13" i="1" s="1"/>
  <c r="J50" i="1" s="1"/>
  <c r="Q50" i="1" s="1"/>
  <c r="F68" i="1" s="1"/>
  <c r="AR9" i="2"/>
  <c r="J6" i="1" s="1"/>
  <c r="J43" i="1" s="1"/>
  <c r="Q43" i="1" s="1"/>
  <c r="F61" i="1" s="1"/>
  <c r="N52" i="5"/>
  <c r="N48" i="5"/>
  <c r="N49" i="5"/>
  <c r="N44" i="5"/>
  <c r="N50" i="5"/>
  <c r="N46" i="5"/>
  <c r="N45" i="5"/>
  <c r="N51" i="5"/>
  <c r="N41" i="5"/>
  <c r="N47" i="5"/>
  <c r="N42" i="5"/>
  <c r="N43" i="5"/>
  <c r="N40" i="5"/>
  <c r="E36" i="4"/>
  <c r="D57" i="4" s="1"/>
  <c r="K18" i="5" s="1"/>
  <c r="K54" i="5" s="1"/>
  <c r="E37" i="4"/>
  <c r="D56" i="4" s="1"/>
  <c r="K17" i="5" s="1"/>
  <c r="K53" i="5" s="1"/>
  <c r="F36" i="4"/>
  <c r="F37" i="4"/>
  <c r="G36" i="4"/>
  <c r="G37" i="4"/>
  <c r="Q51" i="1"/>
  <c r="F69" i="1" s="1"/>
  <c r="K58" i="2"/>
  <c r="Q56" i="1"/>
  <c r="F74" i="1" s="1"/>
  <c r="Q55" i="1"/>
  <c r="F73" i="1" s="1"/>
  <c r="Q44" i="1"/>
  <c r="F62" i="1" s="1"/>
  <c r="L59" i="2"/>
  <c r="D36" i="2"/>
  <c r="K59" i="2"/>
  <c r="I58" i="2"/>
  <c r="I59" i="2"/>
  <c r="C36" i="2"/>
  <c r="J59" i="2"/>
  <c r="J58" i="2"/>
  <c r="L58" i="2"/>
  <c r="D37" i="2"/>
  <c r="C37" i="2"/>
  <c r="I63" i="2" l="1"/>
  <c r="H37" i="4"/>
  <c r="C56" i="4" s="1"/>
  <c r="L17" i="5" s="1"/>
  <c r="L53" i="5" s="1"/>
  <c r="N53" i="5" s="1"/>
  <c r="H36" i="4"/>
  <c r="C57" i="4" s="1"/>
  <c r="L18" i="5" s="1"/>
  <c r="L54" i="5" s="1"/>
  <c r="N54" i="5" s="1"/>
  <c r="J63" i="2"/>
  <c r="K63" i="2" s="1"/>
  <c r="I62" i="2"/>
  <c r="J62" i="2"/>
  <c r="E37" i="2"/>
  <c r="E36" i="2"/>
  <c r="K62" i="2" l="1"/>
  <c r="H6" i="2" l="1"/>
  <c r="N34" i="2" s="1"/>
  <c r="H7" i="2"/>
  <c r="N25" i="2" s="1"/>
  <c r="H8" i="2"/>
  <c r="N33" i="2" s="1"/>
  <c r="H9" i="2"/>
  <c r="N27" i="2" s="1"/>
  <c r="H10" i="2"/>
  <c r="H11" i="2"/>
  <c r="H13" i="2"/>
  <c r="H15" i="2"/>
  <c r="H16" i="2"/>
  <c r="H17" i="2"/>
  <c r="H20" i="2"/>
  <c r="H22" i="2"/>
  <c r="H23" i="2"/>
  <c r="N26" i="2" s="1"/>
  <c r="H24" i="2"/>
  <c r="N32" i="2" s="1"/>
  <c r="H25" i="2"/>
  <c r="N28" i="2" s="1"/>
  <c r="H26" i="2"/>
  <c r="N29" i="2" s="1"/>
  <c r="H27" i="2"/>
  <c r="N30" i="2" s="1"/>
  <c r="H31" i="2"/>
  <c r="N31" i="2" s="1"/>
  <c r="H33" i="2"/>
  <c r="N23" i="2" s="1"/>
  <c r="H34" i="2"/>
  <c r="N24" i="2" s="1"/>
  <c r="H5" i="2"/>
  <c r="N22" i="2" s="1"/>
  <c r="E6" i="2"/>
  <c r="M34" i="2" s="1"/>
  <c r="E7" i="2"/>
  <c r="M25" i="2" s="1"/>
  <c r="E8" i="2"/>
  <c r="M33" i="2" s="1"/>
  <c r="E9" i="2"/>
  <c r="M27" i="2" s="1"/>
  <c r="E17" i="2"/>
  <c r="E22" i="2"/>
  <c r="E23" i="2"/>
  <c r="M26" i="2" s="1"/>
  <c r="E24" i="2"/>
  <c r="M32" i="2" s="1"/>
  <c r="E25" i="2"/>
  <c r="M28" i="2" s="1"/>
  <c r="E26" i="2"/>
  <c r="M29" i="2" s="1"/>
  <c r="E27" i="2"/>
  <c r="M30" i="2" s="1"/>
  <c r="E28" i="2"/>
  <c r="E29" i="2"/>
  <c r="E30" i="2"/>
  <c r="E31" i="2"/>
  <c r="M31" i="2" s="1"/>
  <c r="E32" i="2"/>
  <c r="E33" i="2"/>
  <c r="M23" i="2" s="1"/>
  <c r="E34" i="2"/>
  <c r="M24" i="2" s="1"/>
  <c r="E5" i="2"/>
  <c r="M22" i="2" s="1"/>
</calcChain>
</file>

<file path=xl/sharedStrings.xml><?xml version="1.0" encoding="utf-8"?>
<sst xmlns="http://schemas.openxmlformats.org/spreadsheetml/2006/main" count="2204" uniqueCount="237">
  <si>
    <t>Porcentaje de Cumplimiento por KPI</t>
  </si>
  <si>
    <t>Market</t>
  </si>
  <si>
    <t>CSI</t>
  </si>
  <si>
    <t>SSI</t>
  </si>
  <si>
    <t>NRC</t>
  </si>
  <si>
    <t>Training</t>
  </si>
  <si>
    <t>Ser. Campaign</t>
  </si>
  <si>
    <t>Lead Mng.</t>
  </si>
  <si>
    <t>Share of Inv.</t>
  </si>
  <si>
    <t>Game Plan</t>
  </si>
  <si>
    <t>Sell In</t>
  </si>
  <si>
    <t>Retention</t>
  </si>
  <si>
    <t>Retail Sales</t>
  </si>
  <si>
    <t>COL</t>
  </si>
  <si>
    <t>PLT</t>
  </si>
  <si>
    <t>CST</t>
  </si>
  <si>
    <t>ECA</t>
  </si>
  <si>
    <t>PNM</t>
  </si>
  <si>
    <t>URU</t>
  </si>
  <si>
    <t>ELS</t>
  </si>
  <si>
    <t>HND</t>
  </si>
  <si>
    <t>NIC</t>
  </si>
  <si>
    <t>DOM</t>
  </si>
  <si>
    <t>GUT</t>
  </si>
  <si>
    <t>-</t>
  </si>
  <si>
    <t>PRG</t>
  </si>
  <si>
    <t>BOL</t>
  </si>
  <si>
    <t>MASSY</t>
  </si>
  <si>
    <t>Gel Group</t>
  </si>
  <si>
    <t>Peso por KPI</t>
  </si>
  <si>
    <t>Total</t>
  </si>
  <si>
    <t>Q1 FY25</t>
  </si>
  <si>
    <t>FY24</t>
  </si>
  <si>
    <t>Massy</t>
  </si>
  <si>
    <t>NSC</t>
  </si>
  <si>
    <t>Target Sell-In</t>
  </si>
  <si>
    <t>Total Sell-In</t>
  </si>
  <si>
    <t>% Achi. Sell In</t>
  </si>
  <si>
    <t>Target Service Frequency</t>
  </si>
  <si>
    <t>Service Frequency</t>
  </si>
  <si>
    <t>%Achi, Retention</t>
  </si>
  <si>
    <t>Q1 vs PY</t>
  </si>
  <si>
    <t>Q1 vs BP</t>
  </si>
  <si>
    <t>Lead Management</t>
  </si>
  <si>
    <t>Serv. Campaign Target</t>
  </si>
  <si>
    <t>Serv. Campaign Real</t>
  </si>
  <si>
    <t>Real CSI</t>
  </si>
  <si>
    <t>%Cumplimiento CSI</t>
  </si>
  <si>
    <t>Real SSI</t>
  </si>
  <si>
    <t>%Cumplimiento SSI</t>
  </si>
  <si>
    <t>RS</t>
  </si>
  <si>
    <t>MS</t>
  </si>
  <si>
    <t>Mayo</t>
  </si>
  <si>
    <t>Junio</t>
  </si>
  <si>
    <t>Average</t>
  </si>
  <si>
    <t>APR</t>
  </si>
  <si>
    <t>MAY</t>
  </si>
  <si>
    <t>%Achiev.</t>
  </si>
  <si>
    <t>TR Sales</t>
  </si>
  <si>
    <t>Real TR Sales</t>
  </si>
  <si>
    <t>%Ach. TR Sales</t>
  </si>
  <si>
    <t>TR AS</t>
  </si>
  <si>
    <t>Real TR AS</t>
  </si>
  <si>
    <t>Trainin (Compliance %)</t>
  </si>
  <si>
    <t>Real TR</t>
  </si>
  <si>
    <t>Result</t>
  </si>
  <si>
    <t>ANT</t>
  </si>
  <si>
    <t xml:space="preserve"> -   </t>
  </si>
  <si>
    <t>BAR</t>
  </si>
  <si>
    <t>BEM</t>
  </si>
  <si>
    <t>BHM</t>
  </si>
  <si>
    <t>DMT</t>
  </si>
  <si>
    <t>GRN</t>
  </si>
  <si>
    <t>GUI</t>
  </si>
  <si>
    <t>JAM</t>
  </si>
  <si>
    <t>SRI</t>
  </si>
  <si>
    <t>TRD</t>
  </si>
  <si>
    <t>STK</t>
  </si>
  <si>
    <t>GEL</t>
  </si>
  <si>
    <t>STL</t>
  </si>
  <si>
    <t>STV</t>
  </si>
  <si>
    <t>ALB</t>
  </si>
  <si>
    <t>BLZ</t>
  </si>
  <si>
    <t>CUR</t>
  </si>
  <si>
    <t>HIT</t>
  </si>
  <si>
    <t>Gel</t>
  </si>
  <si>
    <t>Massy Group</t>
  </si>
  <si>
    <t>Target Sell IN</t>
  </si>
  <si>
    <t>Real Sell In</t>
  </si>
  <si>
    <t>Target Retention</t>
  </si>
  <si>
    <t>Real Retention</t>
  </si>
  <si>
    <t>OR Target</t>
  </si>
  <si>
    <t>OR real</t>
  </si>
  <si>
    <t>UIO</t>
  </si>
  <si>
    <t>UIO Real</t>
  </si>
  <si>
    <t>MON</t>
  </si>
  <si>
    <t>Total Repair Orders OB</t>
  </si>
  <si>
    <t>Total Repair Orders</t>
  </si>
  <si>
    <t>%Achi.</t>
  </si>
  <si>
    <t>Total Sell-In Real</t>
  </si>
  <si>
    <t>Service Frequency Real</t>
  </si>
  <si>
    <t>Total Repair Orders Real</t>
  </si>
  <si>
    <t>Mercado</t>
  </si>
  <si>
    <t>Target</t>
  </si>
  <si>
    <t>Real Sales</t>
  </si>
  <si>
    <t>Real PV</t>
  </si>
  <si>
    <t>JUN</t>
  </si>
  <si>
    <t>JUL</t>
  </si>
  <si>
    <t>FYTD</t>
  </si>
  <si>
    <t>ANTIGUA (DIS25D07)</t>
  </si>
  <si>
    <t>TR</t>
  </si>
  <si>
    <t>ARUBA (DIS25D17)</t>
  </si>
  <si>
    <t>BAHAMAS (DIS25D13)</t>
  </si>
  <si>
    <t>BARBADOS (DIS25D04)</t>
  </si>
  <si>
    <t>BER</t>
  </si>
  <si>
    <t>BERMUDA (DIS25D11)</t>
  </si>
  <si>
    <t>BELIZE (DIS25D18)</t>
  </si>
  <si>
    <t>Bolivia</t>
  </si>
  <si>
    <t>Colombia</t>
  </si>
  <si>
    <t>Costa Rica</t>
  </si>
  <si>
    <t>CURAZAO (DIS25D14)</t>
  </si>
  <si>
    <t>DOMINICA (DIS25D12)</t>
  </si>
  <si>
    <t>Ecuador</t>
  </si>
  <si>
    <t>El Salvador</t>
  </si>
  <si>
    <t>GRENADA (DIS25D08)</t>
  </si>
  <si>
    <t>target</t>
  </si>
  <si>
    <t>Guatemala</t>
  </si>
  <si>
    <t>real</t>
  </si>
  <si>
    <t>GUYANA (DIS25D15)</t>
  </si>
  <si>
    <t>Honduras</t>
  </si>
  <si>
    <t>HAITI (DIS25D03)</t>
  </si>
  <si>
    <t>JAMAICA (DIS25D02)</t>
  </si>
  <si>
    <t>Nicaragua</t>
  </si>
  <si>
    <t>Panama</t>
  </si>
  <si>
    <t>Paraguay</t>
  </si>
  <si>
    <t>República Dominicana</t>
  </si>
  <si>
    <t>ST KITTS (DIS25D09)</t>
  </si>
  <si>
    <t>ST LUCIA (DIS25D05)</t>
  </si>
  <si>
    <t>SURINAME (DIS25D10)</t>
  </si>
  <si>
    <t>TRINIDAD Y TOBAGO (DIS25D01)</t>
  </si>
  <si>
    <t>Uruguay</t>
  </si>
  <si>
    <t>Grafica Retention vs Sell In FYTD JUL</t>
  </si>
  <si>
    <t>Weigth</t>
  </si>
  <si>
    <t>Target CSI</t>
  </si>
  <si>
    <t>% Achiev.</t>
  </si>
  <si>
    <t>Target SSI</t>
  </si>
  <si>
    <t>R9</t>
  </si>
  <si>
    <t>Grafica FYTD 25 JUL vs PY</t>
  </si>
  <si>
    <t>Grafica FYTD 25 JUL Satisfaction</t>
  </si>
  <si>
    <t xml:space="preserve">Grafica Aftersales </t>
  </si>
  <si>
    <t>Spare Parts/ UIO WS</t>
  </si>
  <si>
    <t>Grafica YTD BP va PY</t>
  </si>
  <si>
    <t>Grafica YTD vs BP</t>
  </si>
  <si>
    <t>FYTD JUL</t>
  </si>
  <si>
    <t>AFTERSALES TARGETS 2+10</t>
  </si>
  <si>
    <t>DESTINATION</t>
  </si>
  <si>
    <t>RS 5+7</t>
  </si>
  <si>
    <t>%</t>
  </si>
  <si>
    <t>%Achiev. CSI</t>
  </si>
  <si>
    <t>%Achiev. SSI</t>
  </si>
  <si>
    <t>SERVICE CAMPAIGN</t>
  </si>
  <si>
    <t>Target retention</t>
  </si>
  <si>
    <t>Real retention</t>
  </si>
  <si>
    <t>Real</t>
  </si>
  <si>
    <t>Cumpli.</t>
  </si>
  <si>
    <t>%cumpli.</t>
  </si>
  <si>
    <t>target retention</t>
  </si>
  <si>
    <t>%Cumpli.</t>
  </si>
  <si>
    <t>FYTD25 AUG</t>
  </si>
  <si>
    <t>Spare Parts/ UIO WS ($)</t>
  </si>
  <si>
    <t>WS</t>
  </si>
  <si>
    <t>Grafica Satisfaction</t>
  </si>
  <si>
    <t>STM</t>
  </si>
  <si>
    <t>TOTAL</t>
  </si>
  <si>
    <t>No AP</t>
  </si>
  <si>
    <t>YTD Grafica vs 2+10</t>
  </si>
  <si>
    <t>YTD Grafica vs PY</t>
  </si>
  <si>
    <t>YTD Grafica 2+10 vs PY</t>
  </si>
  <si>
    <t>Lead Mng</t>
  </si>
  <si>
    <t>AUG'25 YTD</t>
  </si>
  <si>
    <t>PY</t>
  </si>
  <si>
    <t>2+10</t>
  </si>
  <si>
    <t>Service Campaign</t>
  </si>
  <si>
    <t>tamaño de dealers de puerto rico NRC</t>
  </si>
  <si>
    <t xml:space="preserve">Legal las ventas de refacciones en PLT porque NNA vende en este mercado </t>
  </si>
  <si>
    <t xml:space="preserve">logos de EU a PLT </t>
  </si>
  <si>
    <t xml:space="preserve">junta con TOM y Diego ECA </t>
  </si>
  <si>
    <t>HIT Retomar el tema del DOA</t>
  </si>
  <si>
    <t>NA</t>
  </si>
  <si>
    <t>FYTD AUG</t>
  </si>
  <si>
    <t>%Achie.</t>
  </si>
  <si>
    <t>Real Sell-In</t>
  </si>
  <si>
    <t>SEP</t>
  </si>
  <si>
    <t>Importer</t>
  </si>
  <si>
    <t>Lead</t>
  </si>
  <si>
    <t>%Ach. TR</t>
  </si>
  <si>
    <t>Grafica de Satisfacción</t>
  </si>
  <si>
    <t>Grafica de Posventa</t>
  </si>
  <si>
    <t>6+6</t>
  </si>
  <si>
    <t>Achievement</t>
  </si>
  <si>
    <t>FY25 H1</t>
  </si>
  <si>
    <t>90% Achiev.</t>
  </si>
  <si>
    <t>CUSTOMER EXPERIENCE (25%)</t>
  </si>
  <si>
    <t>BRAND POWER (15%)</t>
  </si>
  <si>
    <t>SUSTAINABLE GROWTH (60%)</t>
  </si>
  <si>
    <t>Ranking</t>
  </si>
  <si>
    <t>General Achievement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</si>
  <si>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</si>
  <si>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</si>
  <si>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</si>
  <si>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</si>
  <si>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</si>
  <si>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</si>
  <si>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</si>
  <si>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</si>
  <si>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</si>
  <si>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</si>
  <si>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</si>
  <si>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</si>
  <si>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</si>
  <si>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</si>
  <si>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&lt;85%</t>
  </si>
  <si>
    <t>TRD: 99%</t>
  </si>
  <si>
    <t>R9: 2.5%</t>
  </si>
  <si>
    <t>15/15</t>
  </si>
  <si>
    <t>CUSTOMER EXPERIENCE (15%)</t>
  </si>
  <si>
    <t>SUSTAINABLE GROWTH (70%)</t>
  </si>
  <si>
    <t>Overall Compliance</t>
  </si>
  <si>
    <t xml:space="preserve"> </t>
  </si>
  <si>
    <t>Target Sell-In2</t>
  </si>
  <si>
    <t>Real-Retention</t>
  </si>
  <si>
    <t>NSC-Target</t>
  </si>
  <si>
    <t>NSC-Sep</t>
  </si>
  <si>
    <t>real + fc</t>
  </si>
  <si>
    <t>PAÍS</t>
  </si>
  <si>
    <t>% AVANCE</t>
  </si>
  <si>
    <t>NRC-Imp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</si>
</sst>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"/>
    <numFmt numFmtId="167" formatCode="0.0%"/>
    <numFmt numFmtId="168" formatCode="_(* #,##0_);_(* \(#,##0\);_(* &quot;-&quot;??_);_(@_)"/>
    <numFmt numFmtId="169" formatCode="&quot;$&quot;#,##0;\(&quot;$&quot;#,##0\)"/>
    <numFmt numFmtId="170" formatCode="0.0"/>
    <numFmt numFmtId="171" formatCode="#,##0;[Red]\(#,##0\);\-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11"/>
      <color rgb="FFFFFFFF"/>
      <name val="Aptos Narrow"/>
      <family val="2"/>
      <scheme val="minor"/>
    </font>
    <font>
      <sz val="9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rgb="FF1F1F1F"/>
      <name val="Arial"/>
      <family val="2"/>
    </font>
    <font>
      <b/>
      <sz val="11"/>
      <color theme="0"/>
      <name val="Calibri"/>
      <family val="2"/>
    </font>
    <font>
      <b/>
      <sz val="11"/>
      <color rgb="FF1F1F1F"/>
      <name val="Arial"/>
      <family val="2"/>
    </font>
    <font>
      <sz val="9"/>
      <color rgb="FF1F1F1F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8">
    <xf numFmtId="0" fontId="0" fillId="0" borderId="0" xfId="0"/>
    <xf numFmtId="9" fontId="0" fillId="0" borderId="0" xfId="0" applyNumberFormat="1"/>
    <xf numFmtId="0" fontId="5" fillId="3" borderId="3" xfId="0" applyFont="1" applyFill="1" applyBorder="1"/>
    <xf numFmtId="0" fontId="5" fillId="3" borderId="4" xfId="0" applyFont="1" applyFill="1" applyBorder="1"/>
    <xf numFmtId="3" fontId="5" fillId="0" borderId="3" xfId="0" applyNumberFormat="1" applyFont="1" applyBorder="1"/>
    <xf numFmtId="0" fontId="5" fillId="0" borderId="3" xfId="0" applyFont="1" applyBorder="1"/>
    <xf numFmtId="3" fontId="5" fillId="0" borderId="3" xfId="0" applyNumberFormat="1" applyFont="1" applyBorder="1" applyAlignment="1">
      <alignment vertical="center"/>
    </xf>
    <xf numFmtId="9" fontId="5" fillId="0" borderId="3" xfId="2" applyFont="1" applyBorder="1" applyAlignment="1">
      <alignment horizontal="center" vertical="center"/>
    </xf>
    <xf numFmtId="0" fontId="5" fillId="3" borderId="0" xfId="0" applyFont="1" applyFill="1"/>
    <xf numFmtId="0" fontId="6" fillId="4" borderId="5" xfId="0" applyFont="1" applyFill="1" applyBorder="1" applyAlignment="1">
      <alignment horizontal="center" vertical="center"/>
    </xf>
    <xf numFmtId="166" fontId="5" fillId="0" borderId="3" xfId="0" applyNumberFormat="1" applyFont="1" applyBorder="1"/>
    <xf numFmtId="0" fontId="3" fillId="0" borderId="0" xfId="0" applyFont="1"/>
    <xf numFmtId="0" fontId="7" fillId="5" borderId="0" xfId="0" applyFont="1" applyFill="1" applyAlignment="1">
      <alignment horizontal="center" vertical="center" wrapText="1"/>
    </xf>
    <xf numFmtId="9" fontId="5" fillId="0" borderId="3" xfId="2" applyFont="1" applyBorder="1"/>
    <xf numFmtId="0" fontId="8" fillId="7" borderId="6" xfId="0" applyFont="1" applyFill="1" applyBorder="1" applyAlignment="1">
      <alignment horizontal="center" vertical="center"/>
    </xf>
    <xf numFmtId="10" fontId="9" fillId="8" borderId="6" xfId="0" applyNumberFormat="1" applyFont="1" applyFill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167" fontId="0" fillId="0" borderId="6" xfId="2" applyNumberFormat="1" applyFont="1" applyBorder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167" fontId="0" fillId="0" borderId="0" xfId="0" applyNumberFormat="1"/>
    <xf numFmtId="0" fontId="3" fillId="6" borderId="6" xfId="0" applyFont="1" applyFill="1" applyBorder="1" applyAlignment="1">
      <alignment horizontal="center" vertical="center"/>
    </xf>
    <xf numFmtId="167" fontId="3" fillId="0" borderId="6" xfId="2" applyNumberFormat="1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3" fillId="0" borderId="6" xfId="0" applyFont="1" applyBorder="1"/>
    <xf numFmtId="9" fontId="3" fillId="0" borderId="6" xfId="2" applyFont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6" xfId="2" applyFont="1" applyBorder="1"/>
    <xf numFmtId="0" fontId="2" fillId="11" borderId="6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12" borderId="10" xfId="0" applyFill="1" applyBorder="1" applyAlignment="1">
      <alignment horizontal="center" vertical="center"/>
    </xf>
    <xf numFmtId="168" fontId="9" fillId="0" borderId="11" xfId="1" applyNumberFormat="1" applyFont="1" applyFill="1" applyBorder="1" applyAlignment="1">
      <alignment horizontal="right" vertical="center" wrapText="1"/>
    </xf>
    <xf numFmtId="168" fontId="9" fillId="0" borderId="0" xfId="1" applyNumberFormat="1" applyFont="1" applyFill="1" applyBorder="1" applyAlignment="1">
      <alignment horizontal="right" vertical="center" wrapText="1"/>
    </xf>
    <xf numFmtId="168" fontId="9" fillId="0" borderId="11" xfId="1" applyNumberFormat="1" applyFont="1" applyBorder="1" applyAlignment="1">
      <alignment horizontal="right" vertical="center" wrapText="1"/>
    </xf>
    <xf numFmtId="168" fontId="9" fillId="0" borderId="0" xfId="1" applyNumberFormat="1" applyFont="1" applyBorder="1" applyAlignment="1">
      <alignment horizontal="right" vertical="center" wrapText="1"/>
    </xf>
    <xf numFmtId="168" fontId="9" fillId="0" borderId="12" xfId="1" applyNumberFormat="1" applyFont="1" applyBorder="1" applyAlignment="1">
      <alignment horizontal="right" vertical="center" wrapText="1"/>
    </xf>
    <xf numFmtId="168" fontId="9" fillId="0" borderId="13" xfId="1" applyNumberFormat="1" applyFont="1" applyBorder="1" applyAlignment="1">
      <alignment horizontal="right" vertical="center" wrapText="1"/>
    </xf>
    <xf numFmtId="0" fontId="11" fillId="12" borderId="9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168" fontId="0" fillId="0" borderId="18" xfId="0" applyNumberFormat="1" applyBorder="1"/>
    <xf numFmtId="168" fontId="0" fillId="0" borderId="19" xfId="0" applyNumberFormat="1" applyBorder="1"/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8" xfId="0" applyBorder="1"/>
    <xf numFmtId="0" fontId="0" fillId="0" borderId="12" xfId="0" applyBorder="1"/>
    <xf numFmtId="0" fontId="0" fillId="0" borderId="13" xfId="0" applyBorder="1"/>
    <xf numFmtId="0" fontId="0" fillId="0" borderId="19" xfId="0" applyBorder="1"/>
    <xf numFmtId="9" fontId="3" fillId="0" borderId="20" xfId="2" applyFont="1" applyBorder="1" applyAlignment="1">
      <alignment horizontal="center" vertical="center"/>
    </xf>
    <xf numFmtId="9" fontId="3" fillId="0" borderId="21" xfId="2" applyFont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167" fontId="3" fillId="0" borderId="0" xfId="2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3" fillId="0" borderId="18" xfId="0" applyNumberFormat="1" applyFont="1" applyBorder="1" applyAlignment="1">
      <alignment horizontal="center"/>
    </xf>
    <xf numFmtId="0" fontId="8" fillId="7" borderId="23" xfId="0" applyFont="1" applyFill="1" applyBorder="1" applyAlignment="1">
      <alignment horizontal="center" vertical="center"/>
    </xf>
    <xf numFmtId="167" fontId="3" fillId="0" borderId="13" xfId="2" applyNumberFormat="1" applyFont="1" applyBorder="1" applyAlignment="1">
      <alignment horizontal="center" vertical="center"/>
    </xf>
    <xf numFmtId="167" fontId="3" fillId="0" borderId="13" xfId="0" applyNumberFormat="1" applyFont="1" applyBorder="1" applyAlignment="1">
      <alignment horizontal="center" vertical="center"/>
    </xf>
    <xf numFmtId="167" fontId="3" fillId="0" borderId="19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9" fontId="3" fillId="0" borderId="8" xfId="2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2" applyNumberFormat="1" applyFont="1" applyBorder="1" applyAlignment="1">
      <alignment horizontal="center" vertical="center"/>
    </xf>
    <xf numFmtId="9" fontId="3" fillId="14" borderId="6" xfId="0" applyNumberFormat="1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/>
    </xf>
    <xf numFmtId="167" fontId="3" fillId="6" borderId="6" xfId="0" applyNumberFormat="1" applyFont="1" applyFill="1" applyBorder="1" applyAlignment="1">
      <alignment horizontal="center" vertical="center"/>
    </xf>
    <xf numFmtId="9" fontId="3" fillId="6" borderId="6" xfId="0" applyNumberFormat="1" applyFont="1" applyFill="1" applyBorder="1" applyAlignment="1">
      <alignment horizontal="center" vertical="center"/>
    </xf>
    <xf numFmtId="9" fontId="3" fillId="6" borderId="6" xfId="2" applyFont="1" applyFill="1" applyBorder="1" applyAlignment="1">
      <alignment horizontal="center" vertical="center"/>
    </xf>
    <xf numFmtId="167" fontId="5" fillId="0" borderId="3" xfId="2" applyNumberFormat="1" applyFont="1" applyBorder="1"/>
    <xf numFmtId="3" fontId="0" fillId="0" borderId="0" xfId="0" applyNumberFormat="1"/>
    <xf numFmtId="3" fontId="3" fillId="0" borderId="0" xfId="0" applyNumberFormat="1" applyFont="1"/>
    <xf numFmtId="167" fontId="5" fillId="0" borderId="0" xfId="2" applyNumberFormat="1" applyFont="1" applyFill="1" applyBorder="1"/>
    <xf numFmtId="167" fontId="3" fillId="0" borderId="0" xfId="2" applyNumberFormat="1" applyFont="1"/>
    <xf numFmtId="167" fontId="0" fillId="0" borderId="0" xfId="2" applyNumberFormat="1" applyFont="1"/>
    <xf numFmtId="2" fontId="3" fillId="0" borderId="0" xfId="0" applyNumberFormat="1" applyFont="1"/>
    <xf numFmtId="0" fontId="0" fillId="0" borderId="6" xfId="0" applyBorder="1"/>
    <xf numFmtId="9" fontId="0" fillId="0" borderId="6" xfId="2" applyFont="1" applyBorder="1"/>
    <xf numFmtId="9" fontId="0" fillId="0" borderId="0" xfId="2" applyFont="1"/>
    <xf numFmtId="0" fontId="8" fillId="16" borderId="25" xfId="0" applyFont="1" applyFill="1" applyBorder="1" applyAlignment="1">
      <alignment horizontal="center"/>
    </xf>
    <xf numFmtId="0" fontId="8" fillId="17" borderId="25" xfId="0" applyFont="1" applyFill="1" applyBorder="1" applyAlignment="1">
      <alignment horizontal="center"/>
    </xf>
    <xf numFmtId="10" fontId="9" fillId="0" borderId="6" xfId="0" applyNumberFormat="1" applyFont="1" applyBorder="1"/>
    <xf numFmtId="10" fontId="12" fillId="18" borderId="6" xfId="0" applyNumberFormat="1" applyFont="1" applyFill="1" applyBorder="1"/>
    <xf numFmtId="0" fontId="3" fillId="6" borderId="25" xfId="0" applyFont="1" applyFill="1" applyBorder="1" applyAlignment="1">
      <alignment horizontal="center" vertical="center"/>
    </xf>
    <xf numFmtId="10" fontId="3" fillId="0" borderId="6" xfId="2" applyNumberFormat="1" applyFont="1" applyBorder="1" applyAlignment="1">
      <alignment horizontal="center" vertical="center"/>
    </xf>
    <xf numFmtId="167" fontId="0" fillId="0" borderId="6" xfId="2" applyNumberFormat="1" applyFont="1" applyBorder="1"/>
    <xf numFmtId="0" fontId="9" fillId="0" borderId="6" xfId="0" applyFont="1" applyBorder="1" applyAlignment="1">
      <alignment horizontal="center"/>
    </xf>
    <xf numFmtId="9" fontId="0" fillId="0" borderId="6" xfId="0" applyNumberFormat="1" applyBorder="1"/>
    <xf numFmtId="0" fontId="0" fillId="0" borderId="6" xfId="0" applyBorder="1" applyAlignment="1">
      <alignment horizontal="center" vertical="center"/>
    </xf>
    <xf numFmtId="9" fontId="3" fillId="0" borderId="6" xfId="2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3" fillId="12" borderId="6" xfId="0" applyFont="1" applyFill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/>
    <xf numFmtId="0" fontId="3" fillId="6" borderId="6" xfId="0" applyFont="1" applyFill="1" applyBorder="1"/>
    <xf numFmtId="1" fontId="0" fillId="0" borderId="6" xfId="0" applyNumberFormat="1" applyBorder="1"/>
    <xf numFmtId="0" fontId="3" fillId="12" borderId="0" xfId="0" applyFont="1" applyFill="1" applyAlignment="1">
      <alignment vertical="center"/>
    </xf>
    <xf numFmtId="0" fontId="0" fillId="0" borderId="6" xfId="0" applyBorder="1" applyAlignment="1">
      <alignment horizontal="left"/>
    </xf>
    <xf numFmtId="10" fontId="0" fillId="0" borderId="6" xfId="2" applyNumberFormat="1" applyFont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0" fontId="0" fillId="6" borderId="6" xfId="0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9" fontId="3" fillId="0" borderId="14" xfId="2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39" fontId="15" fillId="0" borderId="6" xfId="0" applyNumberFormat="1" applyFont="1" applyBorder="1" applyAlignment="1">
      <alignment vertical="center"/>
    </xf>
    <xf numFmtId="169" fontId="15" fillId="0" borderId="6" xfId="0" applyNumberFormat="1" applyFont="1" applyBorder="1" applyAlignment="1">
      <alignment vertical="center"/>
    </xf>
    <xf numFmtId="0" fontId="15" fillId="0" borderId="6" xfId="0" quotePrefix="1" applyFont="1" applyBorder="1" applyAlignment="1">
      <alignment horizontal="left" vertical="top"/>
    </xf>
    <xf numFmtId="167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9" fontId="3" fillId="0" borderId="6" xfId="2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0" fillId="0" borderId="6" xfId="0" applyNumberFormat="1" applyBorder="1"/>
    <xf numFmtId="168" fontId="3" fillId="0" borderId="0" xfId="0" applyNumberFormat="1" applyFont="1"/>
    <xf numFmtId="9" fontId="3" fillId="0" borderId="0" xfId="2" applyFont="1"/>
    <xf numFmtId="168" fontId="11" fillId="20" borderId="6" xfId="0" applyNumberFormat="1" applyFont="1" applyFill="1" applyBorder="1" applyAlignment="1">
      <alignment horizontal="center" vertical="center"/>
    </xf>
    <xf numFmtId="168" fontId="3" fillId="0" borderId="6" xfId="0" applyNumberFormat="1" applyFont="1" applyBorder="1"/>
    <xf numFmtId="167" fontId="3" fillId="0" borderId="6" xfId="2" applyNumberFormat="1" applyFont="1" applyBorder="1"/>
    <xf numFmtId="0" fontId="16" fillId="6" borderId="6" xfId="0" applyFont="1" applyFill="1" applyBorder="1" applyAlignment="1">
      <alignment horizontal="center" vertical="center"/>
    </xf>
    <xf numFmtId="9" fontId="3" fillId="0" borderId="0" xfId="0" applyNumberFormat="1" applyFont="1"/>
    <xf numFmtId="0" fontId="0" fillId="10" borderId="25" xfId="0" applyFill="1" applyBorder="1"/>
    <xf numFmtId="0" fontId="3" fillId="10" borderId="26" xfId="0" applyFont="1" applyFill="1" applyBorder="1"/>
    <xf numFmtId="167" fontId="3" fillId="0" borderId="6" xfId="0" applyNumberFormat="1" applyFont="1" applyBorder="1"/>
    <xf numFmtId="0" fontId="9" fillId="6" borderId="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168" fontId="3" fillId="21" borderId="6" xfId="0" applyNumberFormat="1" applyFont="1" applyFill="1" applyBorder="1"/>
    <xf numFmtId="167" fontId="3" fillId="21" borderId="6" xfId="2" applyNumberFormat="1" applyFont="1" applyFill="1" applyBorder="1"/>
    <xf numFmtId="170" fontId="5" fillId="0" borderId="3" xfId="0" applyNumberFormat="1" applyFont="1" applyBorder="1"/>
    <xf numFmtId="0" fontId="3" fillId="21" borderId="6" xfId="0" applyFont="1" applyFill="1" applyBorder="1" applyAlignment="1">
      <alignment horizontal="center" vertical="center"/>
    </xf>
    <xf numFmtId="9" fontId="3" fillId="0" borderId="6" xfId="0" applyNumberFormat="1" applyFont="1" applyBorder="1"/>
    <xf numFmtId="171" fontId="17" fillId="0" borderId="27" xfId="0" applyNumberFormat="1" applyFont="1" applyBorder="1" applyAlignment="1">
      <alignment horizontal="center"/>
    </xf>
    <xf numFmtId="171" fontId="17" fillId="0" borderId="28" xfId="0" applyNumberFormat="1" applyFont="1" applyBorder="1" applyAlignment="1">
      <alignment horizontal="center"/>
    </xf>
    <xf numFmtId="171" fontId="0" fillId="0" borderId="29" xfId="0" applyNumberFormat="1" applyBorder="1" applyAlignment="1">
      <alignment horizontal="center"/>
    </xf>
    <xf numFmtId="171" fontId="0" fillId="0" borderId="30" xfId="0" applyNumberFormat="1" applyBorder="1" applyAlignment="1">
      <alignment horizontal="center"/>
    </xf>
    <xf numFmtId="171" fontId="17" fillId="0" borderId="31" xfId="0" applyNumberFormat="1" applyFont="1" applyBorder="1" applyAlignment="1">
      <alignment horizontal="center"/>
    </xf>
    <xf numFmtId="171" fontId="0" fillId="0" borderId="32" xfId="0" applyNumberFormat="1" applyBorder="1" applyAlignment="1">
      <alignment horizontal="center"/>
    </xf>
    <xf numFmtId="171" fontId="18" fillId="22" borderId="6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1" fontId="3" fillId="0" borderId="6" xfId="0" applyNumberFormat="1" applyFont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3" fillId="0" borderId="6" xfId="2" applyNumberFormat="1" applyFont="1" applyFill="1" applyBorder="1" applyAlignment="1">
      <alignment horizontal="center" vertical="center"/>
    </xf>
    <xf numFmtId="0" fontId="0" fillId="23" borderId="25" xfId="0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3" fontId="5" fillId="0" borderId="0" xfId="0" applyNumberFormat="1" applyFont="1"/>
    <xf numFmtId="0" fontId="5" fillId="0" borderId="0" xfId="0" applyFont="1"/>
    <xf numFmtId="0" fontId="5" fillId="0" borderId="3" xfId="0" applyFont="1" applyBorder="1" applyAlignment="1">
      <alignment vertical="center"/>
    </xf>
    <xf numFmtId="167" fontId="10" fillId="0" borderId="0" xfId="2" applyNumberFormat="1" applyFont="1" applyAlignment="1">
      <alignment vertical="center"/>
    </xf>
    <xf numFmtId="9" fontId="10" fillId="0" borderId="0" xfId="2" applyFont="1" applyAlignment="1">
      <alignment vertical="center"/>
    </xf>
    <xf numFmtId="2" fontId="5" fillId="0" borderId="3" xfId="0" applyNumberFormat="1" applyFont="1" applyBorder="1" applyAlignment="1">
      <alignment vertical="center"/>
    </xf>
    <xf numFmtId="0" fontId="19" fillId="6" borderId="6" xfId="0" quotePrefix="1" applyFont="1" applyFill="1" applyBorder="1" applyAlignment="1">
      <alignment horizontal="left"/>
    </xf>
    <xf numFmtId="0" fontId="19" fillId="6" borderId="6" xfId="0" quotePrefix="1" applyFont="1" applyFill="1" applyBorder="1" applyAlignment="1">
      <alignment horizontal="center"/>
    </xf>
    <xf numFmtId="0" fontId="19" fillId="0" borderId="6" xfId="0" quotePrefix="1" applyFont="1" applyBorder="1" applyAlignment="1">
      <alignment horizontal="left" vertical="top"/>
    </xf>
    <xf numFmtId="39" fontId="19" fillId="0" borderId="6" xfId="0" applyNumberFormat="1" applyFont="1" applyBorder="1" applyAlignment="1">
      <alignment vertical="center"/>
    </xf>
    <xf numFmtId="169" fontId="19" fillId="0" borderId="6" xfId="0" applyNumberFormat="1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9" fontId="20" fillId="0" borderId="6" xfId="0" applyNumberFormat="1" applyFont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9" fontId="3" fillId="0" borderId="25" xfId="2" applyFont="1" applyBorder="1" applyAlignment="1">
      <alignment horizontal="center" vertical="center"/>
    </xf>
    <xf numFmtId="164" fontId="3" fillId="0" borderId="0" xfId="3" applyFont="1"/>
    <xf numFmtId="0" fontId="0" fillId="12" borderId="6" xfId="0" applyFill="1" applyBorder="1" applyAlignment="1">
      <alignment horizontal="center" vertical="center"/>
    </xf>
    <xf numFmtId="17" fontId="0" fillId="12" borderId="6" xfId="0" applyNumberFormat="1" applyFill="1" applyBorder="1" applyAlignment="1">
      <alignment horizontal="center" vertical="center"/>
    </xf>
    <xf numFmtId="0" fontId="8" fillId="17" borderId="0" xfId="0" applyFont="1" applyFill="1" applyAlignment="1">
      <alignment horizontal="left" vertical="center"/>
    </xf>
    <xf numFmtId="0" fontId="3" fillId="0" borderId="6" xfId="0" applyFont="1" applyBorder="1" applyAlignment="1">
      <alignment vertical="center"/>
    </xf>
    <xf numFmtId="168" fontId="22" fillId="24" borderId="0" xfId="0" applyNumberFormat="1" applyFont="1" applyFill="1"/>
    <xf numFmtId="168" fontId="0" fillId="0" borderId="0" xfId="0" applyNumberFormat="1"/>
    <xf numFmtId="168" fontId="22" fillId="24" borderId="0" xfId="0" applyNumberFormat="1" applyFont="1" applyFill="1" applyAlignment="1">
      <alignment horizontal="center" vertical="center"/>
    </xf>
    <xf numFmtId="167" fontId="5" fillId="0" borderId="3" xfId="2" applyNumberFormat="1" applyFont="1" applyBorder="1" applyAlignment="1">
      <alignment horizontal="center" vertical="center"/>
    </xf>
    <xf numFmtId="9" fontId="10" fillId="0" borderId="0" xfId="2" applyFont="1" applyAlignment="1">
      <alignment horizontal="center" vertical="center"/>
    </xf>
    <xf numFmtId="0" fontId="5" fillId="3" borderId="33" xfId="0" applyFont="1" applyFill="1" applyBorder="1"/>
    <xf numFmtId="2" fontId="5" fillId="0" borderId="3" xfId="0" applyNumberFormat="1" applyFont="1" applyBorder="1"/>
    <xf numFmtId="0" fontId="23" fillId="12" borderId="10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7" fontId="3" fillId="12" borderId="6" xfId="2" applyNumberFormat="1" applyFont="1" applyFill="1" applyBorder="1" applyAlignment="1">
      <alignment horizontal="center" vertical="center"/>
    </xf>
    <xf numFmtId="0" fontId="13" fillId="11" borderId="34" xfId="0" applyFont="1" applyFill="1" applyBorder="1" applyAlignment="1">
      <alignment horizontal="center" vertical="center"/>
    </xf>
    <xf numFmtId="9" fontId="3" fillId="0" borderId="35" xfId="2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3" fillId="0" borderId="0" xfId="2" applyNumberFormat="1" applyFont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167" fontId="3" fillId="10" borderId="25" xfId="2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8" xfId="0" applyFont="1" applyBorder="1"/>
    <xf numFmtId="0" fontId="3" fillId="12" borderId="22" xfId="0" applyFont="1" applyFill="1" applyBorder="1" applyAlignment="1">
      <alignment horizontal="center" vertical="center"/>
    </xf>
    <xf numFmtId="0" fontId="3" fillId="12" borderId="35" xfId="0" applyFont="1" applyFill="1" applyBorder="1" applyAlignment="1">
      <alignment horizontal="center" vertical="center"/>
    </xf>
    <xf numFmtId="167" fontId="3" fillId="0" borderId="22" xfId="2" applyNumberFormat="1" applyFont="1" applyBorder="1" applyAlignment="1">
      <alignment horizontal="center" vertical="center"/>
    </xf>
    <xf numFmtId="167" fontId="3" fillId="0" borderId="35" xfId="2" applyNumberFormat="1" applyFont="1" applyBorder="1" applyAlignment="1">
      <alignment horizontal="center" vertical="center"/>
    </xf>
    <xf numFmtId="167" fontId="3" fillId="0" borderId="23" xfId="2" applyNumberFormat="1" applyFont="1" applyBorder="1" applyAlignment="1">
      <alignment horizontal="center" vertical="center"/>
    </xf>
    <xf numFmtId="167" fontId="3" fillId="0" borderId="36" xfId="2" applyNumberFormat="1" applyFont="1" applyBorder="1" applyAlignment="1">
      <alignment horizontal="center" vertical="center"/>
    </xf>
    <xf numFmtId="167" fontId="3" fillId="0" borderId="37" xfId="2" applyNumberFormat="1" applyFont="1" applyBorder="1" applyAlignment="1">
      <alignment horizontal="center" vertical="center"/>
    </xf>
    <xf numFmtId="167" fontId="3" fillId="0" borderId="39" xfId="2" applyNumberFormat="1" applyFont="1" applyBorder="1" applyAlignment="1">
      <alignment horizontal="center" vertical="center"/>
    </xf>
    <xf numFmtId="167" fontId="3" fillId="0" borderId="40" xfId="2" applyNumberFormat="1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 wrapText="1"/>
    </xf>
    <xf numFmtId="9" fontId="3" fillId="13" borderId="22" xfId="0" applyNumberFormat="1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9" fontId="13" fillId="25" borderId="22" xfId="0" applyNumberFormat="1" applyFont="1" applyFill="1" applyBorder="1" applyAlignment="1">
      <alignment horizontal="center" vertical="center"/>
    </xf>
    <xf numFmtId="9" fontId="13" fillId="25" borderId="6" xfId="0" applyNumberFormat="1" applyFont="1" applyFill="1" applyBorder="1" applyAlignment="1">
      <alignment horizontal="center" vertical="center"/>
    </xf>
    <xf numFmtId="9" fontId="13" fillId="25" borderId="35" xfId="0" applyNumberFormat="1" applyFont="1" applyFill="1" applyBorder="1" applyAlignment="1">
      <alignment horizontal="center" vertical="center"/>
    </xf>
    <xf numFmtId="9" fontId="13" fillId="26" borderId="22" xfId="0" applyNumberFormat="1" applyFont="1" applyFill="1" applyBorder="1" applyAlignment="1">
      <alignment horizontal="center" vertical="center"/>
    </xf>
    <xf numFmtId="9" fontId="13" fillId="26" borderId="6" xfId="0" applyNumberFormat="1" applyFont="1" applyFill="1" applyBorder="1" applyAlignment="1">
      <alignment horizontal="center" vertical="center"/>
    </xf>
    <xf numFmtId="9" fontId="13" fillId="26" borderId="35" xfId="0" applyNumberFormat="1" applyFont="1" applyFill="1" applyBorder="1" applyAlignment="1">
      <alignment horizontal="center" vertical="center"/>
    </xf>
    <xf numFmtId="167" fontId="3" fillId="27" borderId="22" xfId="2" applyNumberFormat="1" applyFont="1" applyFill="1" applyBorder="1" applyAlignment="1">
      <alignment horizontal="center" vertical="center"/>
    </xf>
    <xf numFmtId="167" fontId="3" fillId="27" borderId="36" xfId="2" applyNumberFormat="1" applyFont="1" applyFill="1" applyBorder="1" applyAlignment="1">
      <alignment horizontal="center" vertical="center"/>
    </xf>
    <xf numFmtId="167" fontId="3" fillId="27" borderId="35" xfId="2" applyNumberFormat="1" applyFont="1" applyFill="1" applyBorder="1" applyAlignment="1">
      <alignment horizontal="center" vertical="center"/>
    </xf>
    <xf numFmtId="167" fontId="3" fillId="27" borderId="37" xfId="2" applyNumberFormat="1" applyFont="1" applyFill="1" applyBorder="1" applyAlignment="1">
      <alignment horizontal="center" vertical="center"/>
    </xf>
    <xf numFmtId="167" fontId="3" fillId="27" borderId="6" xfId="2" applyNumberFormat="1" applyFont="1" applyFill="1" applyBorder="1" applyAlignment="1">
      <alignment horizontal="center" vertical="center"/>
    </xf>
    <xf numFmtId="0" fontId="3" fillId="27" borderId="6" xfId="0" applyFont="1" applyFill="1" applyBorder="1"/>
    <xf numFmtId="0" fontId="3" fillId="0" borderId="0" xfId="0" applyFont="1" applyAlignment="1">
      <alignment horizontal="left" vertical="center"/>
    </xf>
    <xf numFmtId="167" fontId="3" fillId="0" borderId="25" xfId="2" applyNumberFormat="1" applyFont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67" fontId="24" fillId="0" borderId="40" xfId="2" applyNumberFormat="1" applyFont="1" applyBorder="1" applyAlignment="1">
      <alignment horizontal="center" vertical="center"/>
    </xf>
    <xf numFmtId="0" fontId="11" fillId="28" borderId="38" xfId="0" applyFont="1" applyFill="1" applyBorder="1" applyAlignment="1">
      <alignment horizontal="center" vertical="center"/>
    </xf>
    <xf numFmtId="167" fontId="3" fillId="0" borderId="9" xfId="2" applyNumberFormat="1" applyFont="1" applyBorder="1" applyAlignment="1">
      <alignment horizontal="center" vertical="center"/>
    </xf>
    <xf numFmtId="0" fontId="3" fillId="12" borderId="4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2" xfId="0" applyFont="1" applyFill="1" applyBorder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9" fontId="13" fillId="26" borderId="41" xfId="0" applyNumberFormat="1" applyFont="1" applyFill="1" applyBorder="1" applyAlignment="1">
      <alignment horizontal="center" vertical="center"/>
    </xf>
    <xf numFmtId="9" fontId="13" fillId="26" borderId="1" xfId="0" applyNumberFormat="1" applyFont="1" applyFill="1" applyBorder="1" applyAlignment="1">
      <alignment horizontal="center" vertical="center"/>
    </xf>
    <xf numFmtId="9" fontId="13" fillId="26" borderId="42" xfId="0" applyNumberFormat="1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167" fontId="26" fillId="0" borderId="9" xfId="2" applyNumberFormat="1" applyFont="1" applyBorder="1" applyAlignment="1">
      <alignment horizontal="center" vertical="center"/>
    </xf>
    <xf numFmtId="167" fontId="26" fillId="0" borderId="21" xfId="2" applyNumberFormat="1" applyFont="1" applyBorder="1" applyAlignment="1">
      <alignment horizontal="center" vertical="center"/>
    </xf>
    <xf numFmtId="167" fontId="3" fillId="0" borderId="21" xfId="2" applyNumberFormat="1" applyFont="1" applyBorder="1" applyAlignment="1">
      <alignment horizontal="center" vertical="center"/>
    </xf>
    <xf numFmtId="167" fontId="20" fillId="0" borderId="21" xfId="2" applyNumberFormat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49" fontId="3" fillId="10" borderId="6" xfId="0" applyNumberFormat="1" applyFont="1" applyFill="1" applyBorder="1" applyAlignment="1">
      <alignment horizontal="center" vertical="center"/>
    </xf>
    <xf numFmtId="9" fontId="3" fillId="12" borderId="39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167" fontId="20" fillId="0" borderId="6" xfId="2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9" fillId="29" borderId="43" xfId="0" applyFont="1" applyFill="1" applyBorder="1"/>
    <xf numFmtId="0" fontId="3" fillId="20" borderId="43" xfId="0" applyFont="1" applyFill="1" applyBorder="1"/>
    <xf numFmtId="0" fontId="3" fillId="0" borderId="43" xfId="0" applyFont="1" applyBorder="1"/>
    <xf numFmtId="0" fontId="30" fillId="0" borderId="44" xfId="0" applyFont="1" applyBorder="1" applyAlignment="1">
      <alignment horizontal="left" vertical="center" wrapText="1" indent="1" readingOrder="1"/>
    </xf>
    <xf numFmtId="0" fontId="28" fillId="0" borderId="44" xfId="0" applyFont="1" applyBorder="1" applyAlignment="1">
      <alignment horizontal="left" vertical="center" wrapText="1" indent="1" readingOrder="1"/>
    </xf>
    <xf numFmtId="9" fontId="28" fillId="0" borderId="44" xfId="0" applyNumberFormat="1" applyFont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9" fontId="3" fillId="0" borderId="6" xfId="2" applyFont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13" fillId="25" borderId="15" xfId="0" applyFont="1" applyFill="1" applyBorder="1" applyAlignment="1">
      <alignment horizontal="center" vertical="center"/>
    </xf>
    <xf numFmtId="0" fontId="13" fillId="25" borderId="16" xfId="0" applyFont="1" applyFill="1" applyBorder="1" applyAlignment="1">
      <alignment horizontal="center" vertical="center"/>
    </xf>
    <xf numFmtId="0" fontId="13" fillId="25" borderId="17" xfId="0" applyFont="1" applyFill="1" applyBorder="1" applyAlignment="1">
      <alignment horizontal="center" vertical="center"/>
    </xf>
    <xf numFmtId="0" fontId="13" fillId="26" borderId="15" xfId="0" applyFont="1" applyFill="1" applyBorder="1" applyAlignment="1">
      <alignment horizontal="center" vertical="center"/>
    </xf>
    <xf numFmtId="0" fontId="13" fillId="26" borderId="16" xfId="0" applyFont="1" applyFill="1" applyBorder="1" applyAlignment="1">
      <alignment horizontal="center" vertical="center"/>
    </xf>
    <xf numFmtId="0" fontId="13" fillId="26" borderId="17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67" fontId="27" fillId="0" borderId="9" xfId="2" applyNumberFormat="1" applyFont="1" applyBorder="1" applyAlignment="1">
      <alignment horizontal="center"/>
    </xf>
    <xf numFmtId="0" fontId="3" fillId="12" borderId="35" xfId="0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9" fontId="9" fillId="0" borderId="6" xfId="0" applyNumberFormat="1" applyFont="1" applyBorder="1" applyAlignment="1">
      <alignment horizontal="center" vertical="center"/>
    </xf>
    <xf numFmtId="3" fontId="31" fillId="0" borderId="44" xfId="0" applyNumberFormat="1" applyFont="1" applyBorder="1" applyAlignment="1">
      <alignment horizontal="left" vertical="center" wrapText="1" indent="1" readingOrder="1"/>
    </xf>
    <xf numFmtId="0" fontId="9" fillId="0" borderId="6" xfId="0" applyFont="1" applyBorder="1" applyAlignment="1">
      <alignment horizontal="center" vertical="center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Calibri"/>
        <family val="2"/>
        <scheme val="none"/>
      </font>
      <numFmt numFmtId="3" formatCode="#,##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7" formatCode="0.0%"/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7" formatCode="0.0%"/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929B33-10C4-4C38-A1F2-7DEE7422671E}" name="Table13" displayName="Table13" ref="D4:Z19" totalsRowShown="0" headerRowDxfId="24" dataDxfId="23">
  <autoFilter ref="D4:Z19" xr:uid="{8A929B33-10C4-4C38-A1F2-7DEE7422671E}"/>
  <sortState xmlns:xlrd2="http://schemas.microsoft.com/office/spreadsheetml/2017/richdata2" ref="D5:Z19">
    <sortCondition ref="D4:D19"/>
  </sortState>
  <tableColumns count="23">
    <tableColumn id="1" xr3:uid="{6D7C1C3B-662B-425E-A878-F9CAB1E70736}" name="Market" dataDxfId="22"/>
    <tableColumn id="2" xr3:uid="{3E76D9A8-1C8F-4558-AE62-4B3F0856D8CA}" name="CSI" dataDxfId="1" dataCellStyle="Porcentaje"/>
    <tableColumn id="3" xr3:uid="{9766C087-6359-4C97-B8F1-CABA684DFD28}" name="SSI" dataDxfId="0" dataCellStyle="Porcentaje"/>
    <tableColumn id="4" xr3:uid="{E7710399-A390-4299-8E23-454C6FF33E33}" name="NRC" dataDxfId="21"/>
    <tableColumn id="5" xr3:uid="{8ADF3CBF-360D-414E-A138-A7E6A1CB0ABC}" name="Training" dataDxfId="20" dataCellStyle="Porcentaje"/>
    <tableColumn id="6" xr3:uid="{C403ABBD-470C-465D-9967-CAD7A6A6FC16}" name="Ser. Campaign" dataDxfId="19"/>
    <tableColumn id="7" xr3:uid="{ED0D1BDF-C968-4040-B227-690D12802A53}" name="Lead Mng." dataDxfId="18" dataCellStyle="Porcentaje"/>
    <tableColumn id="8" xr3:uid="{678A70D5-08C0-4475-B151-1FDA122F2B43}" name="Share of Inv." dataDxfId="17" dataCellStyle="Porcentaje"/>
    <tableColumn id="9" xr3:uid="{490A077C-B1CF-4420-8C36-4602BC980D67}" name="Game Plan" dataDxfId="16" dataCellStyle="Porcentaje"/>
    <tableColumn id="10" xr3:uid="{A699BB08-E665-4172-AA6A-A3DEC7DC58CF}" name="Sell In" dataDxfId="15" dataCellStyle="Porcentaje"/>
    <tableColumn id="11" xr3:uid="{22F33692-9BAE-4539-9E15-368AF8388AB9}" name="Retention" dataDxfId="14" dataCellStyle="Porcentaje"/>
    <tableColumn id="12" xr3:uid="{A4E850D2-F565-4FE8-9450-CBF306602D13}" name="Retail Sales" dataDxfId="13" dataCellStyle="Porcentaje"/>
    <tableColumn id="13" xr3:uid="{9D3B6FD9-5B09-4ADF-9C1E-2CB78DED9062}" name="Achievement" dataDxfId="12"/>
    <tableColumn id="14" xr3:uid="{88B3BF16-EF28-4334-9860-6A690884430A}" name="Target CSI" dataDxfId="11"/>
    <tableColumn id="15" xr3:uid="{74F1A6D8-1574-424A-8FBA-BDD9FD54BE58}" name="Target SSI" dataDxfId="10" dataCellStyle="Porcentaje"/>
    <tableColumn id="16" xr3:uid="{88C8D29C-D556-47B8-91C3-C9CE29FFA0B8}" name="Target Sell-In" dataDxfId="9"/>
    <tableColumn id="18" xr3:uid="{5596719A-00D9-41C2-848E-BE70E9C99C91}" name="Target Retention" dataDxfId="8"/>
    <tableColumn id="19" xr3:uid="{87A9E838-1E8C-4EA3-BBEE-6C98D70B1157}" name="Real-Retention" dataDxfId="7"/>
    <tableColumn id="21" xr3:uid="{698DB94E-F672-4126-AD8F-BF2BD7D1DFA2}" name="Target Sell-In2" dataDxfId="6"/>
    <tableColumn id="22" xr3:uid="{FDAA6523-49E3-49AC-BA70-FFA3A71767DA}" name="Real Sell-In" dataDxfId="5"/>
    <tableColumn id="17" xr3:uid="{9A3B62A2-DF3B-4B40-8638-2E456228F9F2}" name="NSC-Target" dataDxfId="4" dataCellStyle="Porcentaje"/>
    <tableColumn id="20" xr3:uid="{2A46E5C8-24CF-488C-BF9C-454EEEFBEC0E}" name="NSC-Sep" dataDxfId="3" dataCellStyle="Porcentaje"/>
    <tableColumn id="23" xr3:uid="{C69672CD-67B0-4C33-B5A3-888DFDC9BD24}" name="NRC-Im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C822-2E1A-472D-9527-19300F826E3C}">
  <sheetPr codeName="Hoja1"/>
  <dimension ref="E2:Q91"/>
  <sheetViews>
    <sheetView topLeftCell="C70" zoomScale="146" workbookViewId="0">
      <selection activeCell="H78" sqref="H78"/>
    </sheetView>
  </sheetViews>
  <sheetFormatPr baseColWidth="10" defaultColWidth="8.85546875" defaultRowHeight="15" x14ac:dyDescent="0.25"/>
  <cols>
    <col min="4" max="4" width="13.7109375" customWidth="1"/>
    <col min="5" max="5" width="14.42578125" customWidth="1"/>
    <col min="6" max="7" width="9.5703125" customWidth="1"/>
    <col min="10" max="10" width="12.5703125" bestFit="1" customWidth="1"/>
    <col min="11" max="11" width="10.5703125" customWidth="1"/>
    <col min="12" max="12" width="11.7109375" customWidth="1"/>
  </cols>
  <sheetData>
    <row r="2" spans="5:16" x14ac:dyDescent="0.25">
      <c r="E2" t="s">
        <v>0</v>
      </c>
    </row>
    <row r="4" spans="5:16" ht="24" x14ac:dyDescent="0.25">
      <c r="E4" s="20" t="s">
        <v>1</v>
      </c>
      <c r="F4" s="25" t="s">
        <v>2</v>
      </c>
      <c r="G4" s="25" t="s">
        <v>3</v>
      </c>
      <c r="H4" s="25" t="s">
        <v>4</v>
      </c>
      <c r="I4" s="25" t="s">
        <v>5</v>
      </c>
      <c r="J4" s="25" t="s">
        <v>6</v>
      </c>
      <c r="K4" s="25" t="s">
        <v>7</v>
      </c>
      <c r="L4" s="25" t="s">
        <v>8</v>
      </c>
      <c r="M4" s="25" t="s">
        <v>9</v>
      </c>
      <c r="N4" s="25" t="s">
        <v>10</v>
      </c>
      <c r="O4" s="25" t="s">
        <v>11</v>
      </c>
      <c r="P4" s="25" t="s">
        <v>12</v>
      </c>
    </row>
    <row r="5" spans="5:16" x14ac:dyDescent="0.25">
      <c r="E5" s="14" t="s">
        <v>13</v>
      </c>
      <c r="F5" s="24">
        <v>1.0076923076923077</v>
      </c>
      <c r="G5" s="24">
        <v>1.0413043478260868</v>
      </c>
      <c r="H5" s="30">
        <v>1</v>
      </c>
      <c r="I5" s="27">
        <v>0.96494444444444438</v>
      </c>
      <c r="J5" s="30">
        <f>VLOOKUP(E5,'OR Q1'!$AJ$4:$AR$18,'OR Q1'!$AR$2,FALSE)</f>
        <v>0.99852096278976699</v>
      </c>
      <c r="K5" s="27">
        <v>1</v>
      </c>
      <c r="L5" s="27">
        <v>1</v>
      </c>
      <c r="M5" s="27">
        <v>1</v>
      </c>
      <c r="N5" s="24">
        <f>VLOOKUP(E5,'OR Q1'!$AA$4:$AC$19,'OR Q1'!$AB$3,FALSE)</f>
        <v>1.0297799149414102</v>
      </c>
      <c r="O5" s="24">
        <f>VLOOKUP(E5,'OR Q1'!$AA$4:$AC$19,'OR Q1'!$AC$3,FALSE)</f>
        <v>1.0303030303030303</v>
      </c>
      <c r="P5" s="27">
        <f>VLOOKUP(E5,'OR Q1'!$W$4:$Y$19,'OR Q1'!$X$2,FALSE)</f>
        <v>1.0675958188153309</v>
      </c>
    </row>
    <row r="6" spans="5:16" x14ac:dyDescent="0.25">
      <c r="E6" s="14" t="s">
        <v>14</v>
      </c>
      <c r="F6" s="24">
        <v>1.0195121951219512</v>
      </c>
      <c r="G6" s="24">
        <v>0.98021978021978018</v>
      </c>
      <c r="H6" s="23"/>
      <c r="I6" s="27">
        <v>1.0905555555555555</v>
      </c>
      <c r="J6" s="30">
        <f>VLOOKUP(E6,'OR Q1'!$AJ$4:$AR$18,'OR Q1'!$AR$2,FALSE)</f>
        <v>0.96711401959671206</v>
      </c>
      <c r="K6" s="27">
        <v>0.5</v>
      </c>
      <c r="L6" s="27">
        <v>1</v>
      </c>
      <c r="M6" s="27">
        <v>1</v>
      </c>
      <c r="N6" s="24">
        <f>VLOOKUP(E6,'OR Q1'!$AA$4:$AC$19,'OR Q1'!$AB$3,FALSE)</f>
        <v>0.95155750839114062</v>
      </c>
      <c r="O6" s="24">
        <f>VLOOKUP(E6,'OR Q1'!$AA$4:$AC$19,'OR Q1'!$AC$3,FALSE)</f>
        <v>1.0116279069767442</v>
      </c>
      <c r="P6" s="27">
        <f>VLOOKUP(E6,'OR Q1'!$W$4:$Y$19,'OR Q1'!$X$2,FALSE)</f>
        <v>0.85865075722808626</v>
      </c>
    </row>
    <row r="7" spans="5:16" x14ac:dyDescent="0.25">
      <c r="E7" s="14" t="s">
        <v>15</v>
      </c>
      <c r="F7" s="24">
        <v>1.0326086956521738</v>
      </c>
      <c r="G7" s="24">
        <v>1.0163043478260869</v>
      </c>
      <c r="H7" s="30">
        <v>1</v>
      </c>
      <c r="I7" s="27">
        <v>1.1111111111111112</v>
      </c>
      <c r="J7" s="30">
        <f>VLOOKUP(E7,'OR Q1'!$AJ$4:$AR$18,'OR Q1'!$AR$2,FALSE)</f>
        <v>1.0926723407141161</v>
      </c>
      <c r="K7" s="27">
        <v>1</v>
      </c>
      <c r="L7" s="27">
        <v>1</v>
      </c>
      <c r="M7" s="27">
        <v>1</v>
      </c>
      <c r="N7" s="24">
        <f>VLOOKUP(E7,'OR Q1'!$AA$4:$AC$19,'OR Q1'!$AB$3,FALSE)</f>
        <v>1.0488158807389816</v>
      </c>
      <c r="O7" s="24">
        <f>VLOOKUP(E7,'OR Q1'!$AA$4:$AC$19,'OR Q1'!$AC$3,FALSE)</f>
        <v>1</v>
      </c>
      <c r="P7" s="27">
        <f>VLOOKUP(E7,'OR Q1'!$W$4:$Y$19,'OR Q1'!$X$2,FALSE)</f>
        <v>1.2970922882427307</v>
      </c>
    </row>
    <row r="8" spans="5:16" x14ac:dyDescent="0.25">
      <c r="E8" s="14" t="s">
        <v>16</v>
      </c>
      <c r="F8" s="24">
        <v>1.0058823529411764</v>
      </c>
      <c r="G8" s="24">
        <v>1.05</v>
      </c>
      <c r="H8" s="30">
        <v>1</v>
      </c>
      <c r="I8" s="27">
        <v>1.0758888888888889</v>
      </c>
      <c r="J8" s="30">
        <f>VLOOKUP(E8,'OR Q1'!$AJ$4:$AR$18,'OR Q1'!$AR$2,FALSE)</f>
        <v>1.2022301064368981</v>
      </c>
      <c r="K8" s="27">
        <v>1</v>
      </c>
      <c r="L8" s="27">
        <v>1</v>
      </c>
      <c r="M8" s="27">
        <v>1</v>
      </c>
      <c r="N8" s="24">
        <f>VLOOKUP(E8,'OR Q1'!$AA$4:$AC$19,'OR Q1'!$AB$3,FALSE)</f>
        <v>1.0401367386998499</v>
      </c>
      <c r="O8" s="24">
        <f>VLOOKUP(E8,'OR Q1'!$AA$4:$AC$19,'OR Q1'!$AC$3,FALSE)</f>
        <v>1.0194174757281553</v>
      </c>
      <c r="P8" s="27">
        <f>VLOOKUP(E8,'OR Q1'!$W$4:$Y$19,'OR Q1'!$X$2,FALSE)</f>
        <v>1.1223880597014926</v>
      </c>
    </row>
    <row r="9" spans="5:16" x14ac:dyDescent="0.25">
      <c r="E9" s="14" t="s">
        <v>17</v>
      </c>
      <c r="F9" s="24">
        <v>1.0011627906976743</v>
      </c>
      <c r="G9" s="24">
        <v>1.0733333333333333</v>
      </c>
      <c r="H9" s="30">
        <v>1</v>
      </c>
      <c r="I9" s="27">
        <v>1.1111111111111112</v>
      </c>
      <c r="J9" s="30">
        <f>VLOOKUP(E9,'OR Q1'!$AJ$4:$AR$18,'OR Q1'!$AR$2,FALSE)</f>
        <v>1.0842397593149733</v>
      </c>
      <c r="K9" s="27">
        <v>1</v>
      </c>
      <c r="L9" s="27">
        <v>1</v>
      </c>
      <c r="M9" s="27">
        <v>1</v>
      </c>
      <c r="N9" s="24">
        <f>VLOOKUP(E9,'OR Q1'!$AA$4:$AC$19,'OR Q1'!$AB$3,FALSE)</f>
        <v>0.98023704440538506</v>
      </c>
      <c r="O9" s="24">
        <f>VLOOKUP(E9,'OR Q1'!$AA$4:$AC$19,'OR Q1'!$AC$3,FALSE)</f>
        <v>1.0126582278481013</v>
      </c>
      <c r="P9" s="27">
        <f>VLOOKUP(E9,'OR Q1'!$W$4:$Y$19,'OR Q1'!$X$2,FALSE)</f>
        <v>0.68849840255591055</v>
      </c>
    </row>
    <row r="10" spans="5:16" x14ac:dyDescent="0.25">
      <c r="E10" s="14" t="s">
        <v>18</v>
      </c>
      <c r="F10" s="24">
        <v>1.0531914893617023</v>
      </c>
      <c r="G10" s="24">
        <v>1.0284210526315789</v>
      </c>
      <c r="H10" s="30">
        <v>1</v>
      </c>
      <c r="I10" s="27">
        <v>1.0793333333333333</v>
      </c>
      <c r="J10" s="30">
        <f>VLOOKUP(E10,'OR Q1'!$AJ$4:$AR$18,'OR Q1'!$AR$2,FALSE)</f>
        <v>1.0284499309775796</v>
      </c>
      <c r="K10" s="27">
        <v>1</v>
      </c>
      <c r="L10" s="27">
        <v>1</v>
      </c>
      <c r="M10" s="27">
        <v>1</v>
      </c>
      <c r="N10" s="24">
        <f>VLOOKUP(E10,'OR Q1'!$AA$4:$AC$19,'OR Q1'!$AB$3,FALSE)</f>
        <v>0.97245646222674942</v>
      </c>
      <c r="O10" s="24">
        <f>VLOOKUP(E10,'OR Q1'!$AA$4:$AC$19,'OR Q1'!$AC$3,FALSE)</f>
        <v>0.9882352941176471</v>
      </c>
      <c r="P10" s="27">
        <f>VLOOKUP(E10,'OR Q1'!$W$4:$Y$19,'OR Q1'!$X$2,FALSE)</f>
        <v>1.4946619217081851</v>
      </c>
    </row>
    <row r="11" spans="5:16" x14ac:dyDescent="0.25">
      <c r="E11" s="14" t="s">
        <v>19</v>
      </c>
      <c r="F11" s="76">
        <v>1.0914285714285714</v>
      </c>
      <c r="G11" s="76">
        <v>1.146987951807229</v>
      </c>
      <c r="H11" s="77">
        <v>1</v>
      </c>
      <c r="I11" s="78">
        <v>1.0779444444444444</v>
      </c>
      <c r="J11" s="77">
        <f>VLOOKUP(E11,'OR Q1'!$AJ$4:$AR$18,'OR Q1'!$AR$2,FALSE)</f>
        <v>0.9960905417392163</v>
      </c>
      <c r="K11" s="78">
        <v>1</v>
      </c>
      <c r="L11" s="78">
        <v>1</v>
      </c>
      <c r="M11" s="78">
        <v>1</v>
      </c>
      <c r="N11" s="76">
        <f>VLOOKUP(E11,'OR Q1'!$AA$4:$AC$19,'OR Q1'!$AB$3,FALSE)</f>
        <v>1.0057885304284726</v>
      </c>
      <c r="O11" s="76">
        <f>VLOOKUP(E11,'OR Q1'!$AA$4:$AC$19,'OR Q1'!$AC$3,FALSE)</f>
        <v>0.91836734693877553</v>
      </c>
      <c r="P11" s="78">
        <f>VLOOKUP(E11,'OR Q1'!$W$4:$Y$19,'OR Q1'!$X$2,FALSE)</f>
        <v>1.1842105263157894</v>
      </c>
    </row>
    <row r="12" spans="5:16" x14ac:dyDescent="0.25">
      <c r="E12" s="14" t="s">
        <v>20</v>
      </c>
      <c r="F12" s="76">
        <v>0.86571428571428577</v>
      </c>
      <c r="G12" s="76">
        <v>1.2048192771084338</v>
      </c>
      <c r="H12" s="77">
        <v>1</v>
      </c>
      <c r="I12" s="78">
        <v>1.0956666666666666</v>
      </c>
      <c r="J12" s="77">
        <f>VLOOKUP(E12,'OR Q1'!$AJ$4:$AR$18,'OR Q1'!$AR$2,FALSE)</f>
        <v>0.99273275743863965</v>
      </c>
      <c r="K12" s="78">
        <v>1</v>
      </c>
      <c r="L12" s="78">
        <v>1</v>
      </c>
      <c r="M12" s="78">
        <v>1</v>
      </c>
      <c r="N12" s="76">
        <f>VLOOKUP(E12,'OR Q1'!$AA$4:$AC$19,'OR Q1'!$AB$3,FALSE)</f>
        <v>1.0282037775105271</v>
      </c>
      <c r="O12" s="76">
        <f>VLOOKUP(E12,'OR Q1'!$AA$4:$AC$19,'OR Q1'!$AC$3,FALSE)</f>
        <v>1.0265486725663717</v>
      </c>
      <c r="P12" s="78">
        <f>VLOOKUP(E12,'OR Q1'!$W$4:$Y$19,'OR Q1'!$X$2,FALSE)</f>
        <v>1.1839826839826839</v>
      </c>
    </row>
    <row r="13" spans="5:16" x14ac:dyDescent="0.25">
      <c r="E13" s="14" t="s">
        <v>21</v>
      </c>
      <c r="F13" s="76">
        <v>0.84857142857142853</v>
      </c>
      <c r="G13" s="76">
        <v>1.0951807228915664</v>
      </c>
      <c r="H13" s="77">
        <v>1</v>
      </c>
      <c r="I13" s="78">
        <v>1.0593333333333332</v>
      </c>
      <c r="J13" s="77">
        <f>VLOOKUP(E13,'OR Q1'!$AJ$4:$AR$18,'OR Q1'!$AR$2,FALSE)</f>
        <v>0.92865527585757146</v>
      </c>
      <c r="K13" s="78">
        <v>1</v>
      </c>
      <c r="L13" s="78">
        <v>1</v>
      </c>
      <c r="M13" s="78">
        <v>1</v>
      </c>
      <c r="N13" s="76">
        <f>VLOOKUP(E13,'OR Q1'!$AA$4:$AC$19,'OR Q1'!$AB$3,FALSE)</f>
        <v>1.0626018654884635</v>
      </c>
      <c r="O13" s="76">
        <f>VLOOKUP(E13,'OR Q1'!$AA$4:$AC$19,'OR Q1'!$AC$3,FALSE)</f>
        <v>1.0999999999999999</v>
      </c>
      <c r="P13" s="78">
        <f>VLOOKUP(E13,'OR Q1'!$W$4:$Y$19,'OR Q1'!$X$2,FALSE)</f>
        <v>1.2666666666666666</v>
      </c>
    </row>
    <row r="14" spans="5:16" x14ac:dyDescent="0.25">
      <c r="E14" s="14" t="s">
        <v>22</v>
      </c>
      <c r="F14" s="24">
        <v>1.1742857142857144</v>
      </c>
      <c r="G14" s="24">
        <v>1.0681818181818181</v>
      </c>
      <c r="H14" s="30">
        <v>1</v>
      </c>
      <c r="I14" s="27">
        <v>1.1111111111111112</v>
      </c>
      <c r="J14" s="30">
        <f>VLOOKUP(E14,'OR Q1'!$AJ$4:$AR$18,'OR Q1'!$AR$2,FALSE)</f>
        <v>0.99273283894841646</v>
      </c>
      <c r="K14" s="27">
        <v>1</v>
      </c>
      <c r="L14" s="27">
        <v>1</v>
      </c>
      <c r="M14" s="27">
        <v>1</v>
      </c>
      <c r="N14" s="24">
        <f>VLOOKUP(E14,'OR Q1'!$AA$4:$AC$19,'OR Q1'!$AB$3,FALSE)</f>
        <v>0.96809832832141918</v>
      </c>
      <c r="O14" s="24">
        <f>VLOOKUP(E14,'OR Q1'!$AA$4:$AC$19,'OR Q1'!$AC$3,FALSE)</f>
        <v>0.93377483443708609</v>
      </c>
      <c r="P14" s="27">
        <f>VLOOKUP(E14,'OR Q1'!$W$4:$Y$19,'OR Q1'!$X$2,FALSE)</f>
        <v>0.92715231788079466</v>
      </c>
    </row>
    <row r="15" spans="5:16" x14ac:dyDescent="0.25">
      <c r="E15" s="14" t="s">
        <v>23</v>
      </c>
      <c r="F15" s="24">
        <v>1.024</v>
      </c>
      <c r="G15" s="24">
        <v>0.96385542168674709</v>
      </c>
      <c r="H15" s="30">
        <v>1</v>
      </c>
      <c r="I15" s="27">
        <v>1.0859444444444444</v>
      </c>
      <c r="J15" s="30">
        <f>VLOOKUP(E15,'OR Q1'!$AJ$4:$AR$18,'OR Q1'!$AR$2,FALSE)</f>
        <v>0.83839678911867987</v>
      </c>
      <c r="K15" s="27">
        <v>1</v>
      </c>
      <c r="L15" s="27" t="s">
        <v>24</v>
      </c>
      <c r="M15" s="27">
        <v>1</v>
      </c>
      <c r="N15" s="24">
        <f>VLOOKUP(E15,'OR Q1'!$AA$4:$AC$19,'OR Q1'!$AB$3,FALSE)</f>
        <v>1.1357955666644741</v>
      </c>
      <c r="O15" s="24">
        <f>VLOOKUP(E15,'OR Q1'!$AA$4:$AC$19,'OR Q1'!$AC$3,FALSE)</f>
        <v>0.9928057553956835</v>
      </c>
      <c r="P15" s="27">
        <f>VLOOKUP(E15,'OR Q1'!$W$4:$Y$19,'OR Q1'!$X$2,FALSE)</f>
        <v>0.75126050420168067</v>
      </c>
    </row>
    <row r="16" spans="5:16" x14ac:dyDescent="0.25">
      <c r="E16" s="14" t="s">
        <v>25</v>
      </c>
      <c r="F16" s="24">
        <v>1.0857142857142859</v>
      </c>
      <c r="G16" s="24">
        <v>1.0488888888888888</v>
      </c>
      <c r="H16" s="30">
        <v>1</v>
      </c>
      <c r="I16" s="27">
        <v>1.0567777777777778</v>
      </c>
      <c r="J16" s="30">
        <f>VLOOKUP(E16,'OR Q1'!$AJ$4:$AR$18,'OR Q1'!$AR$2,FALSE)</f>
        <v>0.97986766155145699</v>
      </c>
      <c r="K16" s="27">
        <v>1</v>
      </c>
      <c r="L16" s="27" t="s">
        <v>24</v>
      </c>
      <c r="M16" s="27">
        <v>1</v>
      </c>
      <c r="N16" s="24">
        <f>VLOOKUP(E16,'OR Q1'!$AA$4:$AC$19,'OR Q1'!$AB$3,FALSE)</f>
        <v>0.90039764800375133</v>
      </c>
      <c r="O16" s="24">
        <f>VLOOKUP(E16,'OR Q1'!$AA$4:$AC$19,'OR Q1'!$AC$3,FALSE)</f>
        <v>1.1496062992125984</v>
      </c>
      <c r="P16" s="27">
        <f>VLOOKUP(E16,'OR Q1'!$W$4:$Y$19,'OR Q1'!$X$2,FALSE)</f>
        <v>0.76970954356846477</v>
      </c>
    </row>
    <row r="17" spans="5:17" x14ac:dyDescent="0.25">
      <c r="E17" s="14" t="s">
        <v>26</v>
      </c>
      <c r="F17" s="24">
        <v>1.0294117647058825</v>
      </c>
      <c r="G17" s="24">
        <v>1.0816091954022988</v>
      </c>
      <c r="H17" s="30">
        <v>1</v>
      </c>
      <c r="I17" s="27">
        <v>1.0724444444444445</v>
      </c>
      <c r="J17" s="30">
        <f>VLOOKUP(E17,'OR Q1'!$AJ$4:$AR$18,'OR Q1'!$AR$2,FALSE)</f>
        <v>0.98002086795223553</v>
      </c>
      <c r="K17" s="27">
        <v>1</v>
      </c>
      <c r="L17" s="27" t="s">
        <v>24</v>
      </c>
      <c r="M17" s="27">
        <v>1</v>
      </c>
      <c r="N17" s="24">
        <f>VLOOKUP(E17,'OR Q1'!$AA$4:$AC$19,'OR Q1'!$AB$3,FALSE)</f>
        <v>0.91089447511944699</v>
      </c>
      <c r="O17" s="24">
        <f>VLOOKUP(E17,'OR Q1'!$AA$4:$AC$19,'OR Q1'!$AC$3,FALSE)</f>
        <v>0.90588235294117647</v>
      </c>
      <c r="P17" s="27">
        <f>VLOOKUP(E17,'OR Q1'!$W$4:$Y$19,'OR Q1'!$X$2,FALSE)</f>
        <v>1.1469534050179211</v>
      </c>
    </row>
    <row r="18" spans="5:17" x14ac:dyDescent="0.25">
      <c r="E18" s="14" t="s">
        <v>27</v>
      </c>
      <c r="F18" s="24">
        <v>0.73571428571428577</v>
      </c>
      <c r="G18" s="24">
        <v>1.0579545454545456</v>
      </c>
      <c r="H18" s="30">
        <v>1</v>
      </c>
      <c r="I18" s="27">
        <v>0.93888888888888888</v>
      </c>
      <c r="J18" s="74">
        <v>0.75</v>
      </c>
      <c r="K18" s="27">
        <v>1</v>
      </c>
      <c r="L18" s="72" t="s">
        <v>24</v>
      </c>
      <c r="M18" s="27">
        <v>1</v>
      </c>
      <c r="N18" s="24">
        <f>VLOOKUP(E18,'OR Q1'!$AA$4:$AC$19,'OR Q1'!$AB$3,FALSE)</f>
        <v>1</v>
      </c>
      <c r="O18" s="24">
        <f>VLOOKUP(E18,'OR Q1'!$AA$4:$AC$19,'OR Q1'!$AC$3,FALSE)</f>
        <v>0.92322791712104679</v>
      </c>
      <c r="P18" s="27">
        <f>VLOOKUP(E18,'OR Q1'!$W$4:$Y$19,'OR Q1'!$X$2,FALSE)</f>
        <v>0.9178403755868545</v>
      </c>
    </row>
    <row r="19" spans="5:17" x14ac:dyDescent="0.25">
      <c r="E19" s="29" t="s">
        <v>28</v>
      </c>
      <c r="F19" s="23" t="s">
        <v>24</v>
      </c>
      <c r="G19" s="23" t="s">
        <v>24</v>
      </c>
      <c r="H19" s="30">
        <v>1</v>
      </c>
      <c r="I19" s="27">
        <v>0.49999999999999994</v>
      </c>
      <c r="J19" s="74">
        <v>0.1</v>
      </c>
      <c r="K19" s="27">
        <v>0.5</v>
      </c>
      <c r="L19" s="69" t="s">
        <v>24</v>
      </c>
      <c r="M19" s="27">
        <v>1</v>
      </c>
      <c r="N19" s="24">
        <f>VLOOKUP(E19,'OR Q1'!$AA$4:$AC$19,'OR Q1'!$AB$3,FALSE)</f>
        <v>1</v>
      </c>
      <c r="O19" s="24">
        <f>VLOOKUP(E19,'OR Q1'!$AA$4:$AC$19,'OR Q1'!$AC$3,FALSE)</f>
        <v>0.35117204776647504</v>
      </c>
      <c r="P19" s="27">
        <f>VLOOKUP(E19,'OR Q1'!$W$4:$Y$19,'OR Q1'!$X$2,FALSE)</f>
        <v>1.2521739130434784</v>
      </c>
    </row>
    <row r="21" spans="5:17" x14ac:dyDescent="0.25">
      <c r="E21" t="s">
        <v>29</v>
      </c>
    </row>
    <row r="23" spans="5:17" ht="24" x14ac:dyDescent="0.25">
      <c r="E23" s="20" t="s">
        <v>1</v>
      </c>
      <c r="F23" s="25" t="s">
        <v>2</v>
      </c>
      <c r="G23" s="25" t="s">
        <v>3</v>
      </c>
      <c r="H23" s="25" t="s">
        <v>4</v>
      </c>
      <c r="I23" s="25" t="s">
        <v>5</v>
      </c>
      <c r="J23" s="25" t="s">
        <v>6</v>
      </c>
      <c r="K23" s="25" t="s">
        <v>7</v>
      </c>
      <c r="L23" s="25" t="s">
        <v>8</v>
      </c>
      <c r="M23" s="25" t="s">
        <v>9</v>
      </c>
      <c r="N23" s="25" t="s">
        <v>10</v>
      </c>
      <c r="O23" s="25" t="s">
        <v>11</v>
      </c>
      <c r="P23" s="25" t="s">
        <v>12</v>
      </c>
      <c r="Q23" s="25" t="s">
        <v>30</v>
      </c>
    </row>
    <row r="24" spans="5:17" x14ac:dyDescent="0.25">
      <c r="E24" s="14" t="s">
        <v>13</v>
      </c>
      <c r="F24" s="31">
        <v>0.06</v>
      </c>
      <c r="G24" s="31">
        <v>0.06</v>
      </c>
      <c r="H24" s="31">
        <v>0.05</v>
      </c>
      <c r="I24" s="31">
        <v>0.04</v>
      </c>
      <c r="J24" s="31">
        <v>0.04</v>
      </c>
      <c r="K24" s="31">
        <v>0.05</v>
      </c>
      <c r="L24" s="31">
        <v>0.03</v>
      </c>
      <c r="M24" s="31">
        <v>7.0000000000000007E-2</v>
      </c>
      <c r="N24" s="31">
        <v>0.2</v>
      </c>
      <c r="O24" s="31">
        <v>0.1</v>
      </c>
      <c r="P24" s="31">
        <v>0.3</v>
      </c>
      <c r="Q24" s="1">
        <f>SUM(F24:P24)</f>
        <v>1</v>
      </c>
    </row>
    <row r="25" spans="5:17" x14ac:dyDescent="0.25">
      <c r="E25" s="14" t="s">
        <v>14</v>
      </c>
      <c r="F25" s="31">
        <v>0.06</v>
      </c>
      <c r="G25" s="31">
        <v>0.06</v>
      </c>
      <c r="H25" s="31">
        <v>0.05</v>
      </c>
      <c r="I25" s="31">
        <v>0.04</v>
      </c>
      <c r="J25" s="31">
        <v>0.04</v>
      </c>
      <c r="K25" s="31">
        <v>0.05</v>
      </c>
      <c r="L25" s="31">
        <v>0.03</v>
      </c>
      <c r="M25" s="31">
        <v>7.0000000000000007E-2</v>
      </c>
      <c r="N25" s="31">
        <v>0.2</v>
      </c>
      <c r="O25" s="31">
        <v>0.1</v>
      </c>
      <c r="P25" s="31">
        <v>0.3</v>
      </c>
      <c r="Q25" s="1">
        <f t="shared" ref="Q25:Q36" si="0">SUM(F25:P25)</f>
        <v>1</v>
      </c>
    </row>
    <row r="26" spans="5:17" x14ac:dyDescent="0.25">
      <c r="E26" s="14" t="s">
        <v>15</v>
      </c>
      <c r="F26" s="31">
        <v>0.06</v>
      </c>
      <c r="G26" s="31">
        <v>0.06</v>
      </c>
      <c r="H26" s="31">
        <v>0.05</v>
      </c>
      <c r="I26" s="31">
        <v>0.04</v>
      </c>
      <c r="J26" s="31">
        <v>0.04</v>
      </c>
      <c r="K26" s="31">
        <v>0.05</v>
      </c>
      <c r="L26" s="31">
        <v>0.03</v>
      </c>
      <c r="M26" s="31">
        <v>7.0000000000000007E-2</v>
      </c>
      <c r="N26" s="31">
        <v>0.2</v>
      </c>
      <c r="O26" s="31">
        <v>0.1</v>
      </c>
      <c r="P26" s="31">
        <v>0.3</v>
      </c>
      <c r="Q26" s="1">
        <f t="shared" si="0"/>
        <v>1</v>
      </c>
    </row>
    <row r="27" spans="5:17" x14ac:dyDescent="0.25">
      <c r="E27" s="14" t="s">
        <v>16</v>
      </c>
      <c r="F27" s="31">
        <v>0.06</v>
      </c>
      <c r="G27" s="31">
        <v>0.06</v>
      </c>
      <c r="H27" s="31">
        <v>0.05</v>
      </c>
      <c r="I27" s="31">
        <v>0.04</v>
      </c>
      <c r="J27" s="31">
        <v>0.04</v>
      </c>
      <c r="K27" s="31">
        <v>0.05</v>
      </c>
      <c r="L27" s="31">
        <v>0.03</v>
      </c>
      <c r="M27" s="31">
        <v>7.0000000000000007E-2</v>
      </c>
      <c r="N27" s="31">
        <v>0.2</v>
      </c>
      <c r="O27" s="31">
        <v>0.1</v>
      </c>
      <c r="P27" s="31">
        <v>0.3</v>
      </c>
      <c r="Q27" s="1">
        <f t="shared" si="0"/>
        <v>1</v>
      </c>
    </row>
    <row r="28" spans="5:17" x14ac:dyDescent="0.25">
      <c r="E28" s="14" t="s">
        <v>17</v>
      </c>
      <c r="F28" s="31">
        <v>0.06</v>
      </c>
      <c r="G28" s="31">
        <v>0.06</v>
      </c>
      <c r="H28" s="31">
        <v>0.05</v>
      </c>
      <c r="I28" s="31">
        <v>0.04</v>
      </c>
      <c r="J28" s="31">
        <v>0.04</v>
      </c>
      <c r="K28" s="31">
        <v>0.05</v>
      </c>
      <c r="L28" s="31">
        <v>0.03</v>
      </c>
      <c r="M28" s="31">
        <v>7.0000000000000007E-2</v>
      </c>
      <c r="N28" s="31">
        <v>0.2</v>
      </c>
      <c r="O28" s="31">
        <v>0.1</v>
      </c>
      <c r="P28" s="31">
        <v>0.3</v>
      </c>
      <c r="Q28" s="1">
        <f t="shared" si="0"/>
        <v>1</v>
      </c>
    </row>
    <row r="29" spans="5:17" x14ac:dyDescent="0.25">
      <c r="E29" s="14" t="s">
        <v>18</v>
      </c>
      <c r="F29" s="31">
        <v>0.06</v>
      </c>
      <c r="G29" s="31">
        <v>0.06</v>
      </c>
      <c r="H29" s="31">
        <v>0.05</v>
      </c>
      <c r="I29" s="31">
        <v>0.04</v>
      </c>
      <c r="J29" s="31">
        <v>0.04</v>
      </c>
      <c r="K29" s="31">
        <v>0.05</v>
      </c>
      <c r="L29" s="31">
        <v>0.03</v>
      </c>
      <c r="M29" s="31">
        <v>7.0000000000000007E-2</v>
      </c>
      <c r="N29" s="31">
        <v>0.2</v>
      </c>
      <c r="O29" s="31">
        <v>0.1</v>
      </c>
      <c r="P29" s="31">
        <v>0.3</v>
      </c>
      <c r="Q29" s="1">
        <f t="shared" si="0"/>
        <v>1</v>
      </c>
    </row>
    <row r="30" spans="5:17" x14ac:dyDescent="0.25">
      <c r="E30" s="14" t="s">
        <v>19</v>
      </c>
      <c r="F30" s="31">
        <v>0.06</v>
      </c>
      <c r="G30" s="31">
        <v>0.06</v>
      </c>
      <c r="H30" s="31">
        <v>0.05</v>
      </c>
      <c r="I30" s="31">
        <v>0.04</v>
      </c>
      <c r="J30" s="31">
        <v>0.04</v>
      </c>
      <c r="K30" s="31">
        <v>0.05</v>
      </c>
      <c r="L30" s="31">
        <v>0.03</v>
      </c>
      <c r="M30" s="31">
        <v>7.0000000000000007E-2</v>
      </c>
      <c r="N30" s="31">
        <v>0.2</v>
      </c>
      <c r="O30" s="31">
        <v>0.1</v>
      </c>
      <c r="P30" s="31">
        <v>0.3</v>
      </c>
      <c r="Q30" s="1">
        <f t="shared" si="0"/>
        <v>1</v>
      </c>
    </row>
    <row r="31" spans="5:17" x14ac:dyDescent="0.25">
      <c r="E31" s="14" t="s">
        <v>20</v>
      </c>
      <c r="F31" s="31">
        <v>0.06</v>
      </c>
      <c r="G31" s="31">
        <v>0.06</v>
      </c>
      <c r="H31" s="31">
        <v>0.05</v>
      </c>
      <c r="I31" s="31">
        <v>0.04</v>
      </c>
      <c r="J31" s="31">
        <v>0.04</v>
      </c>
      <c r="K31" s="31">
        <v>0.05</v>
      </c>
      <c r="L31" s="31">
        <v>0.03</v>
      </c>
      <c r="M31" s="31">
        <v>7.0000000000000007E-2</v>
      </c>
      <c r="N31" s="31">
        <v>0.2</v>
      </c>
      <c r="O31" s="31">
        <v>0.1</v>
      </c>
      <c r="P31" s="31">
        <v>0.3</v>
      </c>
      <c r="Q31" s="1">
        <f t="shared" si="0"/>
        <v>1</v>
      </c>
    </row>
    <row r="32" spans="5:17" x14ac:dyDescent="0.25">
      <c r="E32" s="14" t="s">
        <v>21</v>
      </c>
      <c r="F32" s="31">
        <v>0.06</v>
      </c>
      <c r="G32" s="31">
        <v>0.06</v>
      </c>
      <c r="H32" s="31">
        <v>0.05</v>
      </c>
      <c r="I32" s="31">
        <v>0.04</v>
      </c>
      <c r="J32" s="31">
        <v>0.04</v>
      </c>
      <c r="K32" s="31">
        <v>0.05</v>
      </c>
      <c r="L32" s="31">
        <v>0.03</v>
      </c>
      <c r="M32" s="31">
        <v>7.0000000000000007E-2</v>
      </c>
      <c r="N32" s="31">
        <v>0.2</v>
      </c>
      <c r="O32" s="31">
        <v>0.1</v>
      </c>
      <c r="P32" s="31">
        <v>0.3</v>
      </c>
      <c r="Q32" s="1">
        <f t="shared" si="0"/>
        <v>1</v>
      </c>
    </row>
    <row r="33" spans="5:17" x14ac:dyDescent="0.25">
      <c r="E33" s="14" t="s">
        <v>22</v>
      </c>
      <c r="F33" s="31">
        <v>0.06</v>
      </c>
      <c r="G33" s="31">
        <v>0.06</v>
      </c>
      <c r="H33" s="31">
        <v>0.05</v>
      </c>
      <c r="I33" s="31">
        <v>0.04</v>
      </c>
      <c r="J33" s="31">
        <v>0.04</v>
      </c>
      <c r="K33" s="31">
        <v>0.05</v>
      </c>
      <c r="L33" s="31">
        <v>0.03</v>
      </c>
      <c r="M33" s="31">
        <v>7.0000000000000007E-2</v>
      </c>
      <c r="N33" s="31">
        <v>0.2</v>
      </c>
      <c r="O33" s="31">
        <v>0.1</v>
      </c>
      <c r="P33" s="31">
        <v>0.3</v>
      </c>
      <c r="Q33" s="1">
        <f t="shared" si="0"/>
        <v>1</v>
      </c>
    </row>
    <row r="34" spans="5:17" x14ac:dyDescent="0.25">
      <c r="E34" s="14" t="s">
        <v>23</v>
      </c>
      <c r="F34" s="31">
        <v>0.06</v>
      </c>
      <c r="G34" s="31">
        <v>0.06</v>
      </c>
      <c r="H34" s="31">
        <v>0.05</v>
      </c>
      <c r="I34" s="31">
        <v>0.04</v>
      </c>
      <c r="J34" s="31">
        <v>0.04</v>
      </c>
      <c r="K34" s="31">
        <v>0.05</v>
      </c>
      <c r="L34" s="73" t="s">
        <v>24</v>
      </c>
      <c r="M34" s="31">
        <v>0.1</v>
      </c>
      <c r="N34" s="31">
        <v>0.2</v>
      </c>
      <c r="O34" s="31">
        <v>0.1</v>
      </c>
      <c r="P34" s="31">
        <v>0.3</v>
      </c>
      <c r="Q34" s="1">
        <f t="shared" si="0"/>
        <v>1</v>
      </c>
    </row>
    <row r="35" spans="5:17" x14ac:dyDescent="0.25">
      <c r="E35" s="14" t="s">
        <v>25</v>
      </c>
      <c r="F35" s="31">
        <v>0.06</v>
      </c>
      <c r="G35" s="31">
        <v>0.06</v>
      </c>
      <c r="H35" s="31">
        <v>0.05</v>
      </c>
      <c r="I35" s="31">
        <v>0.04</v>
      </c>
      <c r="J35" s="31">
        <v>0.04</v>
      </c>
      <c r="K35" s="31">
        <v>0.05</v>
      </c>
      <c r="L35" s="73" t="s">
        <v>24</v>
      </c>
      <c r="M35" s="31">
        <v>0.1</v>
      </c>
      <c r="N35" s="31">
        <v>0.2</v>
      </c>
      <c r="O35" s="31">
        <v>0.1</v>
      </c>
      <c r="P35" s="31">
        <v>0.3</v>
      </c>
      <c r="Q35" s="1">
        <f t="shared" si="0"/>
        <v>1</v>
      </c>
    </row>
    <row r="36" spans="5:17" x14ac:dyDescent="0.25">
      <c r="E36" s="14" t="s">
        <v>26</v>
      </c>
      <c r="F36" s="31">
        <v>0.06</v>
      </c>
      <c r="G36" s="31">
        <v>0.06</v>
      </c>
      <c r="H36" s="31">
        <v>0.05</v>
      </c>
      <c r="I36" s="31">
        <v>0.04</v>
      </c>
      <c r="J36" s="31">
        <v>0.04</v>
      </c>
      <c r="K36" s="31">
        <v>0.05</v>
      </c>
      <c r="L36" s="73" t="s">
        <v>24</v>
      </c>
      <c r="M36" s="31">
        <v>0.1</v>
      </c>
      <c r="N36" s="31">
        <v>0.2</v>
      </c>
      <c r="O36" s="31">
        <v>0.1</v>
      </c>
      <c r="P36" s="31">
        <v>0.3</v>
      </c>
      <c r="Q36" s="1">
        <f t="shared" si="0"/>
        <v>1</v>
      </c>
    </row>
    <row r="37" spans="5:17" x14ac:dyDescent="0.25">
      <c r="E37" s="14" t="s">
        <v>27</v>
      </c>
      <c r="F37" s="31">
        <v>0.06</v>
      </c>
      <c r="G37" s="31">
        <v>0.06</v>
      </c>
      <c r="H37" s="31">
        <v>0.05</v>
      </c>
      <c r="I37" s="31">
        <v>0.04</v>
      </c>
      <c r="J37" s="31">
        <v>0.04</v>
      </c>
      <c r="K37" s="31">
        <v>0.05</v>
      </c>
      <c r="L37" s="73" t="s">
        <v>24</v>
      </c>
      <c r="M37" s="31">
        <v>0.1</v>
      </c>
      <c r="N37" s="31">
        <v>0.2</v>
      </c>
      <c r="O37" s="31">
        <v>0.1</v>
      </c>
      <c r="P37" s="31">
        <v>0.3</v>
      </c>
      <c r="Q37" s="1">
        <f>SUM(F37:P37)</f>
        <v>1</v>
      </c>
    </row>
    <row r="38" spans="5:17" x14ac:dyDescent="0.25">
      <c r="E38" s="29" t="s">
        <v>28</v>
      </c>
      <c r="F38" s="31" t="s">
        <v>24</v>
      </c>
      <c r="G38" s="31" t="s">
        <v>24</v>
      </c>
      <c r="H38" s="31">
        <v>0.05</v>
      </c>
      <c r="I38" s="31">
        <v>0.05</v>
      </c>
      <c r="J38" s="31">
        <v>0.05</v>
      </c>
      <c r="K38" s="31">
        <v>0.05</v>
      </c>
      <c r="L38" s="27" t="s">
        <v>24</v>
      </c>
      <c r="M38" s="31">
        <v>0.1</v>
      </c>
      <c r="N38" s="31">
        <v>0.25</v>
      </c>
      <c r="O38" s="31">
        <v>0.1</v>
      </c>
      <c r="P38" s="31">
        <v>0.35</v>
      </c>
      <c r="Q38" s="1">
        <f>SUM(F38:P38)</f>
        <v>1</v>
      </c>
    </row>
    <row r="41" spans="5:17" ht="24" x14ac:dyDescent="0.25">
      <c r="E41" s="20" t="s">
        <v>1</v>
      </c>
      <c r="F41" s="25" t="s">
        <v>2</v>
      </c>
      <c r="G41" s="25" t="s">
        <v>3</v>
      </c>
      <c r="H41" s="25" t="s">
        <v>4</v>
      </c>
      <c r="I41" s="25" t="s">
        <v>5</v>
      </c>
      <c r="J41" s="25" t="s">
        <v>6</v>
      </c>
      <c r="K41" s="25" t="s">
        <v>7</v>
      </c>
      <c r="L41" s="25" t="s">
        <v>8</v>
      </c>
      <c r="M41" s="25" t="s">
        <v>9</v>
      </c>
      <c r="N41" s="25" t="s">
        <v>10</v>
      </c>
      <c r="O41" s="25" t="s">
        <v>11</v>
      </c>
      <c r="P41" s="25" t="s">
        <v>12</v>
      </c>
      <c r="Q41" s="25" t="s">
        <v>30</v>
      </c>
    </row>
    <row r="42" spans="5:17" x14ac:dyDescent="0.25">
      <c r="E42" s="14" t="s">
        <v>13</v>
      </c>
      <c r="F42" s="70">
        <f>IF(F5&gt;=100%,F24,(F5*F24)/100%)</f>
        <v>0.06</v>
      </c>
      <c r="G42" s="70">
        <f t="shared" ref="G42:P42" si="1">IF(G5&gt;=100%,G24,(G5*G24)/100%)</f>
        <v>0.06</v>
      </c>
      <c r="H42" s="70">
        <f t="shared" si="1"/>
        <v>0.05</v>
      </c>
      <c r="I42" s="70">
        <f t="shared" si="1"/>
        <v>3.8597777777777779E-2</v>
      </c>
      <c r="J42" s="70">
        <f t="shared" si="1"/>
        <v>3.9940838511590679E-2</v>
      </c>
      <c r="K42" s="70">
        <f t="shared" si="1"/>
        <v>0.05</v>
      </c>
      <c r="L42" s="70">
        <f t="shared" si="1"/>
        <v>0.03</v>
      </c>
      <c r="M42" s="70">
        <f t="shared" si="1"/>
        <v>7.0000000000000007E-2</v>
      </c>
      <c r="N42" s="70">
        <f t="shared" si="1"/>
        <v>0.2</v>
      </c>
      <c r="O42" s="70">
        <f t="shared" si="1"/>
        <v>0.1</v>
      </c>
      <c r="P42" s="70">
        <f t="shared" si="1"/>
        <v>0.3</v>
      </c>
      <c r="Q42" s="30">
        <f>SUM(F42:P42)</f>
        <v>0.99853861628936835</v>
      </c>
    </row>
    <row r="43" spans="5:17" x14ac:dyDescent="0.25">
      <c r="E43" s="14" t="s">
        <v>14</v>
      </c>
      <c r="F43" s="70">
        <f t="shared" ref="F43:P56" si="2">IF(F6&gt;=100%,F25,(F6*F25)/100%)</f>
        <v>0.06</v>
      </c>
      <c r="G43" s="70">
        <f t="shared" si="2"/>
        <v>5.8813186813186806E-2</v>
      </c>
      <c r="H43" s="70">
        <f t="shared" si="2"/>
        <v>0</v>
      </c>
      <c r="I43" s="70">
        <f t="shared" si="2"/>
        <v>0.04</v>
      </c>
      <c r="J43" s="70">
        <f t="shared" si="2"/>
        <v>3.8684560783868484E-2</v>
      </c>
      <c r="K43" s="70">
        <f t="shared" si="2"/>
        <v>2.5000000000000001E-2</v>
      </c>
      <c r="L43" s="70">
        <f t="shared" si="2"/>
        <v>0.03</v>
      </c>
      <c r="M43" s="70">
        <f t="shared" si="2"/>
        <v>7.0000000000000007E-2</v>
      </c>
      <c r="N43" s="70">
        <f t="shared" si="2"/>
        <v>0.19031150167822813</v>
      </c>
      <c r="O43" s="70">
        <f t="shared" si="2"/>
        <v>0.1</v>
      </c>
      <c r="P43" s="70">
        <f t="shared" si="2"/>
        <v>0.25759522716842587</v>
      </c>
      <c r="Q43" s="30">
        <f t="shared" ref="Q43:Q56" si="3">SUM(F43:P43)</f>
        <v>0.87040447644370922</v>
      </c>
    </row>
    <row r="44" spans="5:17" x14ac:dyDescent="0.25">
      <c r="E44" s="14" t="s">
        <v>15</v>
      </c>
      <c r="F44" s="70">
        <f t="shared" si="2"/>
        <v>0.06</v>
      </c>
      <c r="G44" s="70">
        <f t="shared" si="2"/>
        <v>0.06</v>
      </c>
      <c r="H44" s="70">
        <f t="shared" si="2"/>
        <v>0.05</v>
      </c>
      <c r="I44" s="70">
        <f t="shared" si="2"/>
        <v>0.04</v>
      </c>
      <c r="J44" s="70">
        <f t="shared" si="2"/>
        <v>0.04</v>
      </c>
      <c r="K44" s="70">
        <f t="shared" si="2"/>
        <v>0.05</v>
      </c>
      <c r="L44" s="70">
        <f t="shared" si="2"/>
        <v>0.03</v>
      </c>
      <c r="M44" s="70">
        <f t="shared" si="2"/>
        <v>7.0000000000000007E-2</v>
      </c>
      <c r="N44" s="70">
        <f t="shared" si="2"/>
        <v>0.2</v>
      </c>
      <c r="O44" s="70">
        <f t="shared" si="2"/>
        <v>0.1</v>
      </c>
      <c r="P44" s="70">
        <f t="shared" si="2"/>
        <v>0.3</v>
      </c>
      <c r="Q44" s="30">
        <f t="shared" si="3"/>
        <v>1</v>
      </c>
    </row>
    <row r="45" spans="5:17" x14ac:dyDescent="0.25">
      <c r="E45" s="14" t="s">
        <v>16</v>
      </c>
      <c r="F45" s="70">
        <f t="shared" si="2"/>
        <v>0.06</v>
      </c>
      <c r="G45" s="70">
        <f t="shared" si="2"/>
        <v>0.06</v>
      </c>
      <c r="H45" s="70">
        <f t="shared" si="2"/>
        <v>0.05</v>
      </c>
      <c r="I45" s="70">
        <f t="shared" si="2"/>
        <v>0.04</v>
      </c>
      <c r="J45" s="70">
        <f t="shared" si="2"/>
        <v>0.04</v>
      </c>
      <c r="K45" s="70">
        <f t="shared" si="2"/>
        <v>0.05</v>
      </c>
      <c r="L45" s="70">
        <f t="shared" si="2"/>
        <v>0.03</v>
      </c>
      <c r="M45" s="70">
        <f t="shared" si="2"/>
        <v>7.0000000000000007E-2</v>
      </c>
      <c r="N45" s="70">
        <f t="shared" si="2"/>
        <v>0.2</v>
      </c>
      <c r="O45" s="70">
        <f t="shared" si="2"/>
        <v>0.1</v>
      </c>
      <c r="P45" s="70">
        <f t="shared" si="2"/>
        <v>0.3</v>
      </c>
      <c r="Q45" s="30">
        <f t="shared" si="3"/>
        <v>1</v>
      </c>
    </row>
    <row r="46" spans="5:17" x14ac:dyDescent="0.25">
      <c r="E46" s="14" t="s">
        <v>17</v>
      </c>
      <c r="F46" s="70">
        <f t="shared" si="2"/>
        <v>0.06</v>
      </c>
      <c r="G46" s="70">
        <f t="shared" si="2"/>
        <v>0.06</v>
      </c>
      <c r="H46" s="70">
        <f t="shared" si="2"/>
        <v>0.05</v>
      </c>
      <c r="I46" s="70">
        <f t="shared" si="2"/>
        <v>0.04</v>
      </c>
      <c r="J46" s="70">
        <f t="shared" si="2"/>
        <v>0.04</v>
      </c>
      <c r="K46" s="70">
        <f t="shared" si="2"/>
        <v>0.05</v>
      </c>
      <c r="L46" s="70">
        <f t="shared" si="2"/>
        <v>0.03</v>
      </c>
      <c r="M46" s="70">
        <f t="shared" si="2"/>
        <v>7.0000000000000007E-2</v>
      </c>
      <c r="N46" s="70">
        <f t="shared" si="2"/>
        <v>0.19604740888107702</v>
      </c>
      <c r="O46" s="70">
        <f t="shared" si="2"/>
        <v>0.1</v>
      </c>
      <c r="P46" s="70">
        <f t="shared" si="2"/>
        <v>0.20654952076677316</v>
      </c>
      <c r="Q46" s="30">
        <f t="shared" si="3"/>
        <v>0.9025969296478501</v>
      </c>
    </row>
    <row r="47" spans="5:17" x14ac:dyDescent="0.25">
      <c r="E47" s="14" t="s">
        <v>18</v>
      </c>
      <c r="F47" s="70">
        <f t="shared" si="2"/>
        <v>0.06</v>
      </c>
      <c r="G47" s="70">
        <f t="shared" si="2"/>
        <v>0.06</v>
      </c>
      <c r="H47" s="70">
        <f t="shared" si="2"/>
        <v>0.05</v>
      </c>
      <c r="I47" s="70">
        <f t="shared" si="2"/>
        <v>0.04</v>
      </c>
      <c r="J47" s="70">
        <f t="shared" si="2"/>
        <v>0.04</v>
      </c>
      <c r="K47" s="70">
        <f t="shared" si="2"/>
        <v>0.05</v>
      </c>
      <c r="L47" s="70">
        <f t="shared" si="2"/>
        <v>0.03</v>
      </c>
      <c r="M47" s="70">
        <f t="shared" si="2"/>
        <v>7.0000000000000007E-2</v>
      </c>
      <c r="N47" s="70">
        <f t="shared" si="2"/>
        <v>0.19449129244534991</v>
      </c>
      <c r="O47" s="70">
        <f t="shared" si="2"/>
        <v>9.8823529411764713E-2</v>
      </c>
      <c r="P47" s="70">
        <f t="shared" si="2"/>
        <v>0.3</v>
      </c>
      <c r="Q47" s="30">
        <f t="shared" si="3"/>
        <v>0.99331482185711462</v>
      </c>
    </row>
    <row r="48" spans="5:17" x14ac:dyDescent="0.25">
      <c r="E48" s="14" t="s">
        <v>19</v>
      </c>
      <c r="F48" s="70">
        <f t="shared" si="2"/>
        <v>0.06</v>
      </c>
      <c r="G48" s="70">
        <f t="shared" si="2"/>
        <v>0.06</v>
      </c>
      <c r="H48" s="70">
        <f t="shared" si="2"/>
        <v>0.05</v>
      </c>
      <c r="I48" s="70">
        <f t="shared" si="2"/>
        <v>0.04</v>
      </c>
      <c r="J48" s="70">
        <f t="shared" si="2"/>
        <v>3.9843621669568653E-2</v>
      </c>
      <c r="K48" s="70">
        <f t="shared" si="2"/>
        <v>0.05</v>
      </c>
      <c r="L48" s="70">
        <f t="shared" si="2"/>
        <v>0.03</v>
      </c>
      <c r="M48" s="70">
        <f t="shared" si="2"/>
        <v>7.0000000000000007E-2</v>
      </c>
      <c r="N48" s="70">
        <f t="shared" si="2"/>
        <v>0.2</v>
      </c>
      <c r="O48" s="70">
        <f t="shared" si="2"/>
        <v>9.1836734693877556E-2</v>
      </c>
      <c r="P48" s="70">
        <f t="shared" si="2"/>
        <v>0.3</v>
      </c>
      <c r="Q48" s="30">
        <f t="shared" si="3"/>
        <v>0.9916803563634462</v>
      </c>
    </row>
    <row r="49" spans="5:17" x14ac:dyDescent="0.25">
      <c r="E49" s="14" t="s">
        <v>20</v>
      </c>
      <c r="F49" s="70">
        <f t="shared" si="2"/>
        <v>5.1942857142857145E-2</v>
      </c>
      <c r="G49" s="70">
        <f t="shared" si="2"/>
        <v>0.06</v>
      </c>
      <c r="H49" s="70">
        <f t="shared" si="2"/>
        <v>0.05</v>
      </c>
      <c r="I49" s="70">
        <f t="shared" si="2"/>
        <v>0.04</v>
      </c>
      <c r="J49" s="70">
        <f t="shared" si="2"/>
        <v>3.970931029754559E-2</v>
      </c>
      <c r="K49" s="70">
        <f t="shared" si="2"/>
        <v>0.05</v>
      </c>
      <c r="L49" s="70">
        <f t="shared" si="2"/>
        <v>0.03</v>
      </c>
      <c r="M49" s="70">
        <f t="shared" si="2"/>
        <v>7.0000000000000007E-2</v>
      </c>
      <c r="N49" s="70">
        <f t="shared" si="2"/>
        <v>0.2</v>
      </c>
      <c r="O49" s="70">
        <f t="shared" si="2"/>
        <v>0.1</v>
      </c>
      <c r="P49" s="70">
        <f t="shared" si="2"/>
        <v>0.3</v>
      </c>
      <c r="Q49" s="30">
        <f t="shared" si="3"/>
        <v>0.99165216744040285</v>
      </c>
    </row>
    <row r="50" spans="5:17" x14ac:dyDescent="0.25">
      <c r="E50" s="14" t="s">
        <v>21</v>
      </c>
      <c r="F50" s="70">
        <f t="shared" si="2"/>
        <v>5.0914285714285711E-2</v>
      </c>
      <c r="G50" s="70">
        <f t="shared" si="2"/>
        <v>0.06</v>
      </c>
      <c r="H50" s="70">
        <f t="shared" si="2"/>
        <v>0.05</v>
      </c>
      <c r="I50" s="70">
        <f t="shared" si="2"/>
        <v>0.04</v>
      </c>
      <c r="J50" s="70">
        <f t="shared" si="2"/>
        <v>3.7146211034302858E-2</v>
      </c>
      <c r="K50" s="70">
        <f t="shared" si="2"/>
        <v>0.05</v>
      </c>
      <c r="L50" s="70">
        <f t="shared" si="2"/>
        <v>0.03</v>
      </c>
      <c r="M50" s="70">
        <f t="shared" si="2"/>
        <v>7.0000000000000007E-2</v>
      </c>
      <c r="N50" s="70">
        <f t="shared" si="2"/>
        <v>0.2</v>
      </c>
      <c r="O50" s="70">
        <f t="shared" si="2"/>
        <v>0.1</v>
      </c>
      <c r="P50" s="70">
        <f t="shared" si="2"/>
        <v>0.3</v>
      </c>
      <c r="Q50" s="30">
        <f t="shared" si="3"/>
        <v>0.98806049674858865</v>
      </c>
    </row>
    <row r="51" spans="5:17" x14ac:dyDescent="0.25">
      <c r="E51" s="14" t="s">
        <v>22</v>
      </c>
      <c r="F51" s="70">
        <f t="shared" si="2"/>
        <v>0.06</v>
      </c>
      <c r="G51" s="70">
        <f t="shared" si="2"/>
        <v>0.06</v>
      </c>
      <c r="H51" s="70">
        <f t="shared" si="2"/>
        <v>0.05</v>
      </c>
      <c r="I51" s="70">
        <f t="shared" si="2"/>
        <v>0.04</v>
      </c>
      <c r="J51" s="70">
        <f t="shared" si="2"/>
        <v>3.9709313557936658E-2</v>
      </c>
      <c r="K51" s="70">
        <f t="shared" si="2"/>
        <v>0.05</v>
      </c>
      <c r="L51" s="70">
        <f t="shared" si="2"/>
        <v>0.03</v>
      </c>
      <c r="M51" s="70">
        <f t="shared" si="2"/>
        <v>7.0000000000000007E-2</v>
      </c>
      <c r="N51" s="70">
        <f t="shared" si="2"/>
        <v>0.19361966566428385</v>
      </c>
      <c r="O51" s="70">
        <f t="shared" si="2"/>
        <v>9.3377483443708609E-2</v>
      </c>
      <c r="P51" s="70">
        <f t="shared" si="2"/>
        <v>0.27814569536423839</v>
      </c>
      <c r="Q51" s="30">
        <f t="shared" si="3"/>
        <v>0.96485215803016755</v>
      </c>
    </row>
    <row r="52" spans="5:17" x14ac:dyDescent="0.25">
      <c r="E52" s="14" t="s">
        <v>23</v>
      </c>
      <c r="F52" s="70">
        <f t="shared" si="2"/>
        <v>0.06</v>
      </c>
      <c r="G52" s="70">
        <f t="shared" si="2"/>
        <v>5.7831325301204821E-2</v>
      </c>
      <c r="H52" s="70">
        <f t="shared" si="2"/>
        <v>0.05</v>
      </c>
      <c r="I52" s="70">
        <f t="shared" si="2"/>
        <v>0.04</v>
      </c>
      <c r="J52" s="70">
        <f t="shared" si="2"/>
        <v>3.3535871564747195E-2</v>
      </c>
      <c r="K52" s="70">
        <f t="shared" si="2"/>
        <v>0.05</v>
      </c>
      <c r="L52" s="70" t="s">
        <v>24</v>
      </c>
      <c r="M52" s="70">
        <f t="shared" si="2"/>
        <v>0.1</v>
      </c>
      <c r="N52" s="70">
        <f t="shared" si="2"/>
        <v>0.2</v>
      </c>
      <c r="O52" s="70">
        <f t="shared" si="2"/>
        <v>9.9280575539568358E-2</v>
      </c>
      <c r="P52" s="70">
        <f t="shared" si="2"/>
        <v>0.2253781512605042</v>
      </c>
      <c r="Q52" s="30">
        <f t="shared" si="3"/>
        <v>0.91602592366602453</v>
      </c>
    </row>
    <row r="53" spans="5:17" x14ac:dyDescent="0.25">
      <c r="E53" s="14" t="s">
        <v>25</v>
      </c>
      <c r="F53" s="70">
        <f t="shared" si="2"/>
        <v>0.06</v>
      </c>
      <c r="G53" s="70">
        <f t="shared" si="2"/>
        <v>0.06</v>
      </c>
      <c r="H53" s="70">
        <f t="shared" si="2"/>
        <v>0.05</v>
      </c>
      <c r="I53" s="70">
        <f t="shared" si="2"/>
        <v>0.04</v>
      </c>
      <c r="J53" s="70">
        <f t="shared" si="2"/>
        <v>3.9194706462058283E-2</v>
      </c>
      <c r="K53" s="70">
        <f t="shared" si="2"/>
        <v>0.05</v>
      </c>
      <c r="L53" s="70" t="s">
        <v>24</v>
      </c>
      <c r="M53" s="70">
        <f t="shared" si="2"/>
        <v>0.1</v>
      </c>
      <c r="N53" s="70">
        <f t="shared" si="2"/>
        <v>0.18007952960075027</v>
      </c>
      <c r="O53" s="70">
        <f t="shared" si="2"/>
        <v>0.1</v>
      </c>
      <c r="P53" s="70">
        <f t="shared" si="2"/>
        <v>0.23091286307053943</v>
      </c>
      <c r="Q53" s="30">
        <f t="shared" si="3"/>
        <v>0.91018709913334783</v>
      </c>
    </row>
    <row r="54" spans="5:17" x14ac:dyDescent="0.25">
      <c r="E54" s="14" t="s">
        <v>26</v>
      </c>
      <c r="F54" s="70">
        <f t="shared" si="2"/>
        <v>0.06</v>
      </c>
      <c r="G54" s="70">
        <f t="shared" si="2"/>
        <v>0.06</v>
      </c>
      <c r="H54" s="70">
        <f t="shared" si="2"/>
        <v>0.05</v>
      </c>
      <c r="I54" s="70">
        <f t="shared" si="2"/>
        <v>0.04</v>
      </c>
      <c r="J54" s="70">
        <f t="shared" si="2"/>
        <v>3.9200834718089425E-2</v>
      </c>
      <c r="K54" s="70">
        <f t="shared" si="2"/>
        <v>0.05</v>
      </c>
      <c r="L54" s="70" t="s">
        <v>24</v>
      </c>
      <c r="M54" s="70">
        <f t="shared" si="2"/>
        <v>0.1</v>
      </c>
      <c r="N54" s="70">
        <f t="shared" si="2"/>
        <v>0.1821788950238894</v>
      </c>
      <c r="O54" s="70">
        <f t="shared" si="2"/>
        <v>9.058823529411765E-2</v>
      </c>
      <c r="P54" s="70">
        <f t="shared" si="2"/>
        <v>0.3</v>
      </c>
      <c r="Q54" s="30">
        <f t="shared" si="3"/>
        <v>0.97196796503609639</v>
      </c>
    </row>
    <row r="55" spans="5:17" x14ac:dyDescent="0.25">
      <c r="E55" s="14" t="s">
        <v>27</v>
      </c>
      <c r="F55" s="70">
        <f t="shared" si="2"/>
        <v>4.4142857142857143E-2</v>
      </c>
      <c r="G55" s="70">
        <f t="shared" si="2"/>
        <v>0.06</v>
      </c>
      <c r="H55" s="70">
        <f t="shared" si="2"/>
        <v>0.05</v>
      </c>
      <c r="I55" s="70">
        <f t="shared" si="2"/>
        <v>3.7555555555555557E-2</v>
      </c>
      <c r="J55" s="70">
        <f t="shared" si="2"/>
        <v>0.03</v>
      </c>
      <c r="K55" s="70">
        <f t="shared" si="2"/>
        <v>0.05</v>
      </c>
      <c r="L55" s="70" t="str">
        <f t="shared" si="2"/>
        <v>-</v>
      </c>
      <c r="M55" s="70">
        <f t="shared" si="2"/>
        <v>0.1</v>
      </c>
      <c r="N55" s="70">
        <f t="shared" si="2"/>
        <v>0.2</v>
      </c>
      <c r="O55" s="70">
        <f t="shared" si="2"/>
        <v>9.2322791712104682E-2</v>
      </c>
      <c r="P55" s="70">
        <f t="shared" si="2"/>
        <v>0.27535211267605636</v>
      </c>
      <c r="Q55" s="30">
        <f t="shared" si="3"/>
        <v>0.9393733170865739</v>
      </c>
    </row>
    <row r="56" spans="5:17" x14ac:dyDescent="0.25">
      <c r="E56" s="22" t="s">
        <v>28</v>
      </c>
      <c r="F56" s="71" t="str">
        <f t="shared" si="2"/>
        <v>-</v>
      </c>
      <c r="G56" s="71" t="str">
        <f t="shared" si="2"/>
        <v>-</v>
      </c>
      <c r="H56" s="71">
        <f t="shared" si="2"/>
        <v>0.05</v>
      </c>
      <c r="I56" s="71">
        <f t="shared" si="2"/>
        <v>2.4999999999999998E-2</v>
      </c>
      <c r="J56" s="71">
        <f t="shared" si="2"/>
        <v>5.000000000000001E-3</v>
      </c>
      <c r="K56" s="71">
        <f t="shared" si="2"/>
        <v>2.5000000000000001E-2</v>
      </c>
      <c r="L56" s="71" t="str">
        <f t="shared" si="2"/>
        <v>-</v>
      </c>
      <c r="M56" s="71">
        <f t="shared" si="2"/>
        <v>0.1</v>
      </c>
      <c r="N56" s="71">
        <f t="shared" si="2"/>
        <v>0.25</v>
      </c>
      <c r="O56" s="71">
        <f t="shared" si="2"/>
        <v>3.5117204776647502E-2</v>
      </c>
      <c r="P56" s="71">
        <f t="shared" si="2"/>
        <v>0.35</v>
      </c>
      <c r="Q56" s="30">
        <f t="shared" si="3"/>
        <v>0.84011720477664742</v>
      </c>
    </row>
    <row r="59" spans="5:17" x14ac:dyDescent="0.25">
      <c r="E59" s="20" t="s">
        <v>1</v>
      </c>
      <c r="F59" s="20" t="s">
        <v>31</v>
      </c>
    </row>
    <row r="60" spans="5:17" x14ac:dyDescent="0.25">
      <c r="E60" s="14" t="s">
        <v>13</v>
      </c>
      <c r="F60" s="24">
        <f>Q42</f>
        <v>0.99853861628936835</v>
      </c>
    </row>
    <row r="61" spans="5:17" x14ac:dyDescent="0.25">
      <c r="E61" s="14" t="s">
        <v>14</v>
      </c>
      <c r="F61" s="24">
        <f t="shared" ref="F61:F74" si="4">Q43</f>
        <v>0.87040447644370922</v>
      </c>
    </row>
    <row r="62" spans="5:17" x14ac:dyDescent="0.25">
      <c r="E62" s="14" t="s">
        <v>15</v>
      </c>
      <c r="F62" s="24">
        <f t="shared" si="4"/>
        <v>1</v>
      </c>
    </row>
    <row r="63" spans="5:17" x14ac:dyDescent="0.25">
      <c r="E63" s="14" t="s">
        <v>16</v>
      </c>
      <c r="F63" s="24">
        <f t="shared" si="4"/>
        <v>1</v>
      </c>
    </row>
    <row r="64" spans="5:17" x14ac:dyDescent="0.25">
      <c r="E64" s="14" t="s">
        <v>17</v>
      </c>
      <c r="F64" s="24">
        <f t="shared" si="4"/>
        <v>0.9025969296478501</v>
      </c>
    </row>
    <row r="65" spans="5:7" x14ac:dyDescent="0.25">
      <c r="E65" s="14" t="s">
        <v>18</v>
      </c>
      <c r="F65" s="24">
        <f t="shared" si="4"/>
        <v>0.99331482185711462</v>
      </c>
    </row>
    <row r="66" spans="5:7" x14ac:dyDescent="0.25">
      <c r="E66" s="14" t="s">
        <v>19</v>
      </c>
      <c r="F66" s="24">
        <f t="shared" si="4"/>
        <v>0.9916803563634462</v>
      </c>
    </row>
    <row r="67" spans="5:7" x14ac:dyDescent="0.25">
      <c r="E67" s="14" t="s">
        <v>20</v>
      </c>
      <c r="F67" s="24">
        <f t="shared" si="4"/>
        <v>0.99165216744040285</v>
      </c>
    </row>
    <row r="68" spans="5:7" x14ac:dyDescent="0.25">
      <c r="E68" s="14" t="s">
        <v>21</v>
      </c>
      <c r="F68" s="24">
        <f t="shared" si="4"/>
        <v>0.98806049674858865</v>
      </c>
    </row>
    <row r="69" spans="5:7" x14ac:dyDescent="0.25">
      <c r="E69" s="14" t="s">
        <v>22</v>
      </c>
      <c r="F69" s="24">
        <f t="shared" si="4"/>
        <v>0.96485215803016755</v>
      </c>
    </row>
    <row r="70" spans="5:7" x14ac:dyDescent="0.25">
      <c r="E70" s="14" t="s">
        <v>23</v>
      </c>
      <c r="F70" s="24">
        <f t="shared" si="4"/>
        <v>0.91602592366602453</v>
      </c>
    </row>
    <row r="71" spans="5:7" x14ac:dyDescent="0.25">
      <c r="E71" s="14" t="s">
        <v>25</v>
      </c>
      <c r="F71" s="24">
        <f t="shared" si="4"/>
        <v>0.91018709913334783</v>
      </c>
    </row>
    <row r="72" spans="5:7" x14ac:dyDescent="0.25">
      <c r="E72" s="14" t="s">
        <v>26</v>
      </c>
      <c r="F72" s="24">
        <f t="shared" si="4"/>
        <v>0.97196796503609639</v>
      </c>
    </row>
    <row r="73" spans="5:7" x14ac:dyDescent="0.25">
      <c r="E73" s="14" t="s">
        <v>27</v>
      </c>
      <c r="F73" s="24">
        <f t="shared" si="4"/>
        <v>0.9393733170865739</v>
      </c>
    </row>
    <row r="74" spans="5:7" x14ac:dyDescent="0.25">
      <c r="E74" s="29" t="s">
        <v>28</v>
      </c>
      <c r="F74" s="24">
        <f t="shared" si="4"/>
        <v>0.84011720477664742</v>
      </c>
    </row>
    <row r="76" spans="5:7" x14ac:dyDescent="0.25">
      <c r="E76">
        <v>1</v>
      </c>
      <c r="F76">
        <v>2</v>
      </c>
      <c r="G76">
        <v>3</v>
      </c>
    </row>
    <row r="77" spans="5:7" x14ac:dyDescent="0.25">
      <c r="E77" s="28" t="s">
        <v>1</v>
      </c>
      <c r="F77" s="28" t="s">
        <v>32</v>
      </c>
      <c r="G77" s="28" t="s">
        <v>31</v>
      </c>
    </row>
    <row r="78" spans="5:7" x14ac:dyDescent="0.25">
      <c r="E78" s="23" t="s">
        <v>13</v>
      </c>
      <c r="F78" s="16">
        <v>0.98980082279753345</v>
      </c>
      <c r="G78" s="27">
        <v>0.99853861628936835</v>
      </c>
    </row>
    <row r="79" spans="5:7" x14ac:dyDescent="0.25">
      <c r="E79" s="23" t="s">
        <v>15</v>
      </c>
      <c r="F79" s="16">
        <v>1</v>
      </c>
      <c r="G79" s="27">
        <v>1</v>
      </c>
    </row>
    <row r="80" spans="5:7" x14ac:dyDescent="0.25">
      <c r="E80" s="23" t="s">
        <v>16</v>
      </c>
      <c r="F80" s="16">
        <v>0.96686117474328959</v>
      </c>
      <c r="G80" s="27">
        <v>1</v>
      </c>
    </row>
    <row r="81" spans="5:7" x14ac:dyDescent="0.25">
      <c r="E81" s="23" t="s">
        <v>17</v>
      </c>
      <c r="F81" s="16">
        <v>0.91</v>
      </c>
      <c r="G81" s="27">
        <v>0.9025969296478501</v>
      </c>
    </row>
    <row r="82" spans="5:7" x14ac:dyDescent="0.25">
      <c r="E82" s="23" t="s">
        <v>18</v>
      </c>
      <c r="F82" s="16">
        <v>0.93110470401828627</v>
      </c>
      <c r="G82" s="27">
        <v>0.99331482185711462</v>
      </c>
    </row>
    <row r="83" spans="5:7" x14ac:dyDescent="0.25">
      <c r="E83" s="23" t="s">
        <v>19</v>
      </c>
      <c r="F83" s="16">
        <v>0.97207402616838423</v>
      </c>
      <c r="G83" s="27">
        <v>0.9916803563634462</v>
      </c>
    </row>
    <row r="84" spans="5:7" x14ac:dyDescent="0.25">
      <c r="E84" s="23" t="s">
        <v>20</v>
      </c>
      <c r="F84" s="16">
        <v>0.97973452294246177</v>
      </c>
      <c r="G84" s="27">
        <v>0.99165216744040285</v>
      </c>
    </row>
    <row r="85" spans="5:7" x14ac:dyDescent="0.25">
      <c r="E85" s="23" t="s">
        <v>21</v>
      </c>
      <c r="F85" s="16">
        <v>0.93991571983947841</v>
      </c>
      <c r="G85" s="27">
        <v>0.98806049674858865</v>
      </c>
    </row>
    <row r="86" spans="5:7" x14ac:dyDescent="0.25">
      <c r="E86" s="23" t="s">
        <v>22</v>
      </c>
      <c r="F86" s="16">
        <v>0.94524218314862185</v>
      </c>
      <c r="G86" s="27">
        <v>0.96485215803016755</v>
      </c>
    </row>
    <row r="87" spans="5:7" x14ac:dyDescent="0.25">
      <c r="E87" s="23" t="s">
        <v>23</v>
      </c>
      <c r="F87" s="16">
        <v>0.91500000000000004</v>
      </c>
      <c r="G87" s="27">
        <v>0.91602592366602453</v>
      </c>
    </row>
    <row r="88" spans="5:7" x14ac:dyDescent="0.25">
      <c r="E88" s="23" t="s">
        <v>25</v>
      </c>
      <c r="F88" s="16">
        <v>0.99989690721649493</v>
      </c>
      <c r="G88" s="27">
        <v>0.91018709913334783</v>
      </c>
    </row>
    <row r="89" spans="5:7" x14ac:dyDescent="0.25">
      <c r="E89" s="23" t="s">
        <v>26</v>
      </c>
      <c r="F89" s="16">
        <v>0.9</v>
      </c>
      <c r="G89" s="27">
        <v>0.97196796503609639</v>
      </c>
    </row>
    <row r="90" spans="5:7" x14ac:dyDescent="0.25">
      <c r="E90" s="23" t="s">
        <v>33</v>
      </c>
      <c r="F90" s="16">
        <v>0.63392386477602281</v>
      </c>
      <c r="G90" s="27">
        <v>0.9393733170865739</v>
      </c>
    </row>
    <row r="91" spans="5:7" x14ac:dyDescent="0.25">
      <c r="E91" s="23" t="s">
        <v>28</v>
      </c>
      <c r="F91" s="16">
        <v>0.48232272019195277</v>
      </c>
      <c r="G91" s="27">
        <v>0.84011720477664742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C0F1-0691-49A5-A6BE-A00AAA093189}">
  <sheetPr codeName="Hoja2"/>
  <dimension ref="B2:BB87"/>
  <sheetViews>
    <sheetView showGridLines="0" zoomScale="146" workbookViewId="0">
      <selection activeCell="AV19" sqref="AV19"/>
    </sheetView>
  </sheetViews>
  <sheetFormatPr baseColWidth="10" defaultColWidth="8.85546875" defaultRowHeight="15" x14ac:dyDescent="0.25"/>
  <cols>
    <col min="1" max="1" width="4" customWidth="1"/>
    <col min="3" max="3" width="12.42578125" customWidth="1"/>
    <col min="4" max="5" width="11.42578125" customWidth="1"/>
    <col min="6" max="6" width="12.7109375" customWidth="1"/>
    <col min="10" max="10" width="10.5703125" customWidth="1"/>
    <col min="11" max="11" width="11.5703125" customWidth="1"/>
    <col min="13" max="13" width="13.5703125" customWidth="1"/>
    <col min="16" max="16" width="12.7109375" customWidth="1"/>
    <col min="27" max="27" width="10.42578125" customWidth="1"/>
    <col min="44" max="44" width="11.7109375" customWidth="1"/>
    <col min="46" max="46" width="10.5703125" customWidth="1"/>
    <col min="48" max="48" width="13.5703125" customWidth="1"/>
    <col min="49" max="49" width="16.42578125" customWidth="1"/>
    <col min="51" max="51" width="12.42578125" customWidth="1"/>
    <col min="52" max="52" width="19.5703125" bestFit="1" customWidth="1"/>
    <col min="53" max="53" width="11" customWidth="1"/>
    <col min="54" max="54" width="12.42578125" customWidth="1"/>
  </cols>
  <sheetData>
    <row r="2" spans="2:54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W2">
        <v>1</v>
      </c>
      <c r="X2">
        <v>2</v>
      </c>
      <c r="Y2">
        <v>3</v>
      </c>
      <c r="AE2">
        <v>1</v>
      </c>
      <c r="AF2">
        <v>2</v>
      </c>
      <c r="AG2">
        <v>3</v>
      </c>
      <c r="AH2">
        <v>4</v>
      </c>
      <c r="AJ2">
        <v>1</v>
      </c>
      <c r="AK2">
        <v>2</v>
      </c>
      <c r="AL2">
        <v>3</v>
      </c>
      <c r="AM2">
        <v>4</v>
      </c>
      <c r="AN2">
        <v>5</v>
      </c>
      <c r="AO2">
        <v>6</v>
      </c>
      <c r="AP2">
        <v>7</v>
      </c>
      <c r="AQ2">
        <v>8</v>
      </c>
      <c r="AR2">
        <v>9</v>
      </c>
    </row>
    <row r="3" spans="2:54" ht="15.75" thickBot="1" x14ac:dyDescent="0.3">
      <c r="B3" s="263" t="s">
        <v>34</v>
      </c>
      <c r="C3" s="263" t="s">
        <v>35</v>
      </c>
      <c r="D3" s="263" t="s">
        <v>36</v>
      </c>
      <c r="E3" s="263" t="s">
        <v>37</v>
      </c>
      <c r="F3" s="265" t="s">
        <v>38</v>
      </c>
      <c r="G3" s="265" t="s">
        <v>39</v>
      </c>
      <c r="H3" s="265" t="s">
        <v>40</v>
      </c>
      <c r="J3">
        <v>1</v>
      </c>
      <c r="K3">
        <v>2</v>
      </c>
      <c r="L3">
        <v>3</v>
      </c>
      <c r="M3">
        <v>4</v>
      </c>
      <c r="N3">
        <v>5</v>
      </c>
      <c r="S3" s="267" t="s">
        <v>41</v>
      </c>
      <c r="T3" s="267"/>
      <c r="U3" s="267"/>
      <c r="V3" s="11"/>
      <c r="W3" s="267" t="s">
        <v>42</v>
      </c>
      <c r="X3" s="267"/>
      <c r="Y3" s="267"/>
      <c r="AA3">
        <v>1</v>
      </c>
      <c r="AB3">
        <v>2</v>
      </c>
      <c r="AC3">
        <v>3</v>
      </c>
      <c r="AE3" s="268" t="s">
        <v>43</v>
      </c>
      <c r="AF3" s="268"/>
      <c r="AG3" s="268"/>
      <c r="AH3" s="268"/>
      <c r="AK3" s="270" t="s">
        <v>44</v>
      </c>
      <c r="AL3" s="270"/>
      <c r="AM3" s="270"/>
      <c r="AN3" s="269" t="s">
        <v>45</v>
      </c>
      <c r="AO3" s="269"/>
      <c r="AP3" s="269"/>
      <c r="AQ3" s="269"/>
      <c r="AT3">
        <v>1</v>
      </c>
      <c r="AU3">
        <v>2</v>
      </c>
      <c r="AV3">
        <v>3</v>
      </c>
      <c r="AW3">
        <v>4</v>
      </c>
      <c r="AX3">
        <v>5</v>
      </c>
      <c r="AY3">
        <v>6</v>
      </c>
      <c r="AZ3">
        <v>7</v>
      </c>
      <c r="BA3">
        <v>8</v>
      </c>
      <c r="BB3">
        <v>9</v>
      </c>
    </row>
    <row r="4" spans="2:54" ht="24.75" thickBot="1" x14ac:dyDescent="0.3">
      <c r="B4" s="264"/>
      <c r="C4" s="264"/>
      <c r="D4" s="264"/>
      <c r="E4" s="264"/>
      <c r="F4" s="266"/>
      <c r="G4" s="266"/>
      <c r="H4" s="266"/>
      <c r="J4" s="20" t="s">
        <v>1</v>
      </c>
      <c r="K4" s="20" t="s">
        <v>2</v>
      </c>
      <c r="L4" s="20" t="s">
        <v>46</v>
      </c>
      <c r="M4" s="25" t="s">
        <v>47</v>
      </c>
      <c r="N4" s="20" t="s">
        <v>3</v>
      </c>
      <c r="O4" s="20" t="s">
        <v>48</v>
      </c>
      <c r="P4" s="25" t="s">
        <v>49</v>
      </c>
      <c r="S4" s="20" t="s">
        <v>34</v>
      </c>
      <c r="T4" s="20" t="s">
        <v>50</v>
      </c>
      <c r="U4" s="20" t="s">
        <v>51</v>
      </c>
      <c r="V4" s="11"/>
      <c r="W4" s="28" t="s">
        <v>34</v>
      </c>
      <c r="X4" s="28" t="s">
        <v>50</v>
      </c>
      <c r="Y4" s="28" t="s">
        <v>51</v>
      </c>
      <c r="AA4" s="20" t="s">
        <v>1</v>
      </c>
      <c r="AB4" s="20" t="s">
        <v>10</v>
      </c>
      <c r="AC4" s="20" t="s">
        <v>11</v>
      </c>
      <c r="AE4" s="20" t="s">
        <v>1</v>
      </c>
      <c r="AF4" s="20" t="s">
        <v>52</v>
      </c>
      <c r="AG4" s="20" t="s">
        <v>53</v>
      </c>
      <c r="AH4" s="20" t="s">
        <v>54</v>
      </c>
      <c r="AJ4" s="44" t="s">
        <v>34</v>
      </c>
      <c r="AK4" s="45" t="s">
        <v>55</v>
      </c>
      <c r="AL4" s="45" t="s">
        <v>56</v>
      </c>
      <c r="AM4" s="46" t="s">
        <v>30</v>
      </c>
      <c r="AN4" s="44" t="s">
        <v>34</v>
      </c>
      <c r="AO4" s="49" t="s">
        <v>55</v>
      </c>
      <c r="AP4" s="49" t="s">
        <v>56</v>
      </c>
      <c r="AQ4" s="50" t="s">
        <v>30</v>
      </c>
      <c r="AR4" s="42" t="s">
        <v>57</v>
      </c>
      <c r="AT4" s="58" t="s">
        <v>1</v>
      </c>
      <c r="AU4" s="59" t="s">
        <v>58</v>
      </c>
      <c r="AV4" s="75" t="s">
        <v>59</v>
      </c>
      <c r="AW4" s="59" t="s">
        <v>60</v>
      </c>
      <c r="AX4" s="59" t="s">
        <v>61</v>
      </c>
      <c r="AY4" s="75" t="s">
        <v>62</v>
      </c>
      <c r="AZ4" s="59" t="s">
        <v>63</v>
      </c>
      <c r="BA4" s="75" t="s">
        <v>64</v>
      </c>
      <c r="BB4" s="60" t="s">
        <v>65</v>
      </c>
    </row>
    <row r="5" spans="2:54" ht="15.75" thickBot="1" x14ac:dyDescent="0.3">
      <c r="B5" s="2" t="s">
        <v>13</v>
      </c>
      <c r="C5" s="4">
        <v>3401185</v>
      </c>
      <c r="D5" s="4">
        <v>3502472</v>
      </c>
      <c r="E5" s="7">
        <f>D5/C5</f>
        <v>1.0297799149414102</v>
      </c>
      <c r="F5" s="5">
        <v>0.99</v>
      </c>
      <c r="G5" s="5">
        <v>1.02</v>
      </c>
      <c r="H5" s="7">
        <f>G5/F5</f>
        <v>1.0303030303030303</v>
      </c>
      <c r="J5" s="14" t="s">
        <v>13</v>
      </c>
      <c r="K5" s="15">
        <v>0.78</v>
      </c>
      <c r="L5" s="21">
        <v>0.78600000000000003</v>
      </c>
      <c r="M5" s="24">
        <v>1.0076923076923077</v>
      </c>
      <c r="N5" s="15">
        <v>0.92</v>
      </c>
      <c r="O5" s="21">
        <v>0.95799999999999996</v>
      </c>
      <c r="P5" s="24">
        <v>1.0413043478260868</v>
      </c>
      <c r="S5" s="26" t="s">
        <v>13</v>
      </c>
      <c r="T5" s="27">
        <v>1.1866769945778466</v>
      </c>
      <c r="U5" s="27">
        <v>0.96590806254186601</v>
      </c>
      <c r="V5" s="11"/>
      <c r="W5" s="23" t="s">
        <v>28</v>
      </c>
      <c r="X5" s="27">
        <v>1.2521739130434784</v>
      </c>
      <c r="Y5" s="27">
        <v>1.231389026991484</v>
      </c>
      <c r="AA5" s="14" t="s">
        <v>13</v>
      </c>
      <c r="AB5" s="27">
        <v>1.0297799149414102</v>
      </c>
      <c r="AC5" s="27">
        <v>1.0303030303030303</v>
      </c>
      <c r="AE5" s="14" t="s">
        <v>13</v>
      </c>
      <c r="AF5" s="30">
        <v>1</v>
      </c>
      <c r="AG5" s="30">
        <v>1</v>
      </c>
      <c r="AH5" s="30">
        <f>AVERAGE(AF5:AG5)</f>
        <v>1</v>
      </c>
      <c r="AJ5" s="43" t="s">
        <v>16</v>
      </c>
      <c r="AK5" s="36">
        <v>463.16666666666669</v>
      </c>
      <c r="AL5" s="37">
        <v>523.33333333333337</v>
      </c>
      <c r="AM5" s="47">
        <f>SUM(AK5:AL5)</f>
        <v>986.5</v>
      </c>
      <c r="AN5" s="51" t="s">
        <v>16</v>
      </c>
      <c r="AO5">
        <v>509</v>
      </c>
      <c r="AP5">
        <v>677</v>
      </c>
      <c r="AQ5" s="52">
        <f>SUM(AO5:AP5)</f>
        <v>1186</v>
      </c>
      <c r="AR5" s="56">
        <f>AQ5/AM5</f>
        <v>1.2022301064368981</v>
      </c>
      <c r="AT5" s="61" t="s">
        <v>13</v>
      </c>
      <c r="AU5" s="62">
        <v>0.9</v>
      </c>
      <c r="AV5" s="62">
        <v>0.99960000000000004</v>
      </c>
      <c r="AW5" s="63">
        <f>AV5/AU5</f>
        <v>1.1106666666666667</v>
      </c>
      <c r="AX5" s="62">
        <v>0.9</v>
      </c>
      <c r="AY5" s="62">
        <v>0.83689999999999998</v>
      </c>
      <c r="AZ5" s="62">
        <v>0.9</v>
      </c>
      <c r="BA5" s="62">
        <v>0.86844999999999994</v>
      </c>
      <c r="BB5" s="64">
        <f>BA5/AZ5</f>
        <v>0.96494444444444438</v>
      </c>
    </row>
    <row r="6" spans="2:54" ht="15.75" thickBot="1" x14ac:dyDescent="0.3">
      <c r="B6" s="3" t="s">
        <v>26</v>
      </c>
      <c r="C6" s="4">
        <v>502943</v>
      </c>
      <c r="D6" s="4">
        <v>458128</v>
      </c>
      <c r="E6" s="7">
        <f t="shared" ref="E6:E34" si="0">D6/C6</f>
        <v>0.91089447511944699</v>
      </c>
      <c r="F6" s="5">
        <v>0.85</v>
      </c>
      <c r="G6" s="5">
        <v>0.77</v>
      </c>
      <c r="H6" s="7">
        <f t="shared" ref="H6:H34" si="1">G6/F6</f>
        <v>0.90588235294117647</v>
      </c>
      <c r="J6" s="14" t="s">
        <v>14</v>
      </c>
      <c r="K6" s="15">
        <v>0.82</v>
      </c>
      <c r="L6" s="21">
        <v>0.83599999999999997</v>
      </c>
      <c r="M6" s="24">
        <v>1.0195121951219512</v>
      </c>
      <c r="N6" s="15">
        <v>0.91</v>
      </c>
      <c r="O6" s="21">
        <v>0.89200000000000002</v>
      </c>
      <c r="P6" s="24">
        <v>0.98021978021978018</v>
      </c>
      <c r="S6" s="26" t="s">
        <v>14</v>
      </c>
      <c r="T6" s="27">
        <v>0.77154639175257733</v>
      </c>
      <c r="U6" s="27">
        <v>0.82677044033779334</v>
      </c>
      <c r="V6" s="11"/>
      <c r="W6" s="23" t="s">
        <v>33</v>
      </c>
      <c r="X6" s="27">
        <v>0.9178403755868545</v>
      </c>
      <c r="Y6" s="27">
        <v>0.94113581659159684</v>
      </c>
      <c r="AA6" s="14" t="s">
        <v>14</v>
      </c>
      <c r="AB6" s="27">
        <v>0.95155750839114062</v>
      </c>
      <c r="AC6" s="27">
        <v>1.0116279069767442</v>
      </c>
      <c r="AE6" s="14" t="s">
        <v>14</v>
      </c>
      <c r="AF6" s="30">
        <v>1</v>
      </c>
      <c r="AG6" s="30">
        <v>0</v>
      </c>
      <c r="AH6" s="30">
        <f t="shared" ref="AH6:AH19" si="2">AVERAGE(AF6:AG6)</f>
        <v>0.5</v>
      </c>
      <c r="AJ6" s="35" t="s">
        <v>15</v>
      </c>
      <c r="AK6" s="36">
        <v>877.72916666666663</v>
      </c>
      <c r="AL6" s="37">
        <v>965.45833333333326</v>
      </c>
      <c r="AM6" s="47">
        <f t="shared" ref="AM6:AM18" si="3">SUM(AK6:AL6)</f>
        <v>1843.1875</v>
      </c>
      <c r="AN6" s="51" t="s">
        <v>15</v>
      </c>
      <c r="AO6">
        <v>927</v>
      </c>
      <c r="AP6">
        <v>1087</v>
      </c>
      <c r="AQ6" s="52">
        <f t="shared" ref="AQ6:AQ18" si="4">SUM(AO6:AP6)</f>
        <v>2014</v>
      </c>
      <c r="AR6" s="56">
        <f t="shared" ref="AR6:AR18" si="5">AQ6/AM6</f>
        <v>1.0926723407141161</v>
      </c>
      <c r="AT6" s="61" t="s">
        <v>14</v>
      </c>
      <c r="AU6" s="62">
        <v>0.9</v>
      </c>
      <c r="AV6" s="62">
        <v>0.96299999999999997</v>
      </c>
      <c r="AW6" s="63">
        <f t="shared" ref="AW6:AW19" si="6">AV6/AU6</f>
        <v>1.0699999999999998</v>
      </c>
      <c r="AX6" s="62">
        <v>0.9</v>
      </c>
      <c r="AY6" s="62">
        <v>1</v>
      </c>
      <c r="AZ6" s="62">
        <v>0.9</v>
      </c>
      <c r="BA6" s="62">
        <v>0.98149999999999993</v>
      </c>
      <c r="BB6" s="64">
        <f t="shared" ref="BB6:BB19" si="7">BA6/AZ6</f>
        <v>1.0905555555555555</v>
      </c>
    </row>
    <row r="7" spans="2:54" ht="15.75" thickBot="1" x14ac:dyDescent="0.3">
      <c r="B7" s="3" t="s">
        <v>16</v>
      </c>
      <c r="C7" s="4">
        <v>900696</v>
      </c>
      <c r="D7" s="4">
        <v>936847</v>
      </c>
      <c r="E7" s="7">
        <f t="shared" si="0"/>
        <v>1.0401367386998499</v>
      </c>
      <c r="F7" s="5">
        <v>1.03</v>
      </c>
      <c r="G7" s="5">
        <v>1.05</v>
      </c>
      <c r="H7" s="7">
        <f t="shared" si="1"/>
        <v>1.0194174757281553</v>
      </c>
      <c r="J7" s="14" t="s">
        <v>15</v>
      </c>
      <c r="K7" s="15">
        <v>0.92</v>
      </c>
      <c r="L7" s="21">
        <v>0.95</v>
      </c>
      <c r="M7" s="24">
        <v>1.0326086956521738</v>
      </c>
      <c r="N7" s="15">
        <v>0.92</v>
      </c>
      <c r="O7" s="21">
        <v>0.93500000000000005</v>
      </c>
      <c r="P7" s="24">
        <v>1.0163043478260869</v>
      </c>
      <c r="S7" s="26" t="s">
        <v>15</v>
      </c>
      <c r="T7" s="27">
        <v>1.0078585461689586</v>
      </c>
      <c r="U7" s="27">
        <v>1.2233881432843339</v>
      </c>
      <c r="V7" s="11"/>
      <c r="W7" s="23" t="s">
        <v>13</v>
      </c>
      <c r="X7" s="27">
        <v>1.0675958188153309</v>
      </c>
      <c r="Y7" s="27">
        <v>0.94052519798966561</v>
      </c>
      <c r="AA7" s="14" t="s">
        <v>15</v>
      </c>
      <c r="AB7" s="27">
        <v>1.0488158807389816</v>
      </c>
      <c r="AC7" s="27">
        <v>1</v>
      </c>
      <c r="AE7" s="14" t="s">
        <v>15</v>
      </c>
      <c r="AF7" s="30">
        <v>1</v>
      </c>
      <c r="AG7" s="30">
        <v>1</v>
      </c>
      <c r="AH7" s="30">
        <f t="shared" si="2"/>
        <v>1</v>
      </c>
      <c r="AJ7" s="35" t="s">
        <v>18</v>
      </c>
      <c r="AK7" s="36">
        <v>1938.3125</v>
      </c>
      <c r="AL7" s="37">
        <v>2000.625</v>
      </c>
      <c r="AM7" s="47">
        <f t="shared" si="3"/>
        <v>3938.9375</v>
      </c>
      <c r="AN7" s="51" t="s">
        <v>18</v>
      </c>
      <c r="AO7">
        <v>1943</v>
      </c>
      <c r="AP7">
        <v>2108</v>
      </c>
      <c r="AQ7" s="52">
        <f t="shared" si="4"/>
        <v>4051</v>
      </c>
      <c r="AR7" s="56">
        <f t="shared" si="5"/>
        <v>1.0284499309775796</v>
      </c>
      <c r="AT7" s="61" t="s">
        <v>15</v>
      </c>
      <c r="AU7" s="62">
        <v>0.9</v>
      </c>
      <c r="AV7" s="62">
        <v>1</v>
      </c>
      <c r="AW7" s="63">
        <f t="shared" si="6"/>
        <v>1.1111111111111112</v>
      </c>
      <c r="AX7" s="62">
        <v>0.9</v>
      </c>
      <c r="AY7" s="62">
        <v>1</v>
      </c>
      <c r="AZ7" s="62">
        <v>0.9</v>
      </c>
      <c r="BA7" s="62">
        <v>1</v>
      </c>
      <c r="BB7" s="64">
        <f t="shared" si="7"/>
        <v>1.1111111111111112</v>
      </c>
    </row>
    <row r="8" spans="2:54" ht="15.75" thickBot="1" x14ac:dyDescent="0.3">
      <c r="B8" s="3" t="s">
        <v>25</v>
      </c>
      <c r="C8" s="4">
        <v>861566</v>
      </c>
      <c r="D8" s="4">
        <v>775752</v>
      </c>
      <c r="E8" s="7">
        <f t="shared" si="0"/>
        <v>0.90039764800375133</v>
      </c>
      <c r="F8" s="5">
        <v>1.27</v>
      </c>
      <c r="G8" s="5">
        <v>1.46</v>
      </c>
      <c r="H8" s="7">
        <f t="shared" si="1"/>
        <v>1.1496062992125984</v>
      </c>
      <c r="J8" s="14" t="s">
        <v>16</v>
      </c>
      <c r="K8" s="15">
        <v>0.85</v>
      </c>
      <c r="L8" s="21">
        <v>0.85499999999999998</v>
      </c>
      <c r="M8" s="24">
        <v>1.0058823529411764</v>
      </c>
      <c r="N8" s="15">
        <v>0.94</v>
      </c>
      <c r="O8" s="21">
        <v>0.98699999999999999</v>
      </c>
      <c r="P8" s="24">
        <v>1.05</v>
      </c>
      <c r="S8" s="26" t="s">
        <v>20</v>
      </c>
      <c r="T8" s="27">
        <v>0.71316818774445889</v>
      </c>
      <c r="U8" s="27">
        <v>1.0189976113210062</v>
      </c>
      <c r="V8" s="11"/>
      <c r="W8" s="23" t="s">
        <v>14</v>
      </c>
      <c r="X8" s="27">
        <v>0.85865075722808626</v>
      </c>
      <c r="Y8" s="27">
        <v>0.77809515759717995</v>
      </c>
      <c r="AA8" s="14" t="s">
        <v>16</v>
      </c>
      <c r="AB8" s="27">
        <v>1.0401367386998499</v>
      </c>
      <c r="AC8" s="27">
        <v>1.0194174757281553</v>
      </c>
      <c r="AE8" s="14" t="s">
        <v>16</v>
      </c>
      <c r="AF8" s="30">
        <v>1</v>
      </c>
      <c r="AG8" s="30">
        <v>1</v>
      </c>
      <c r="AH8" s="30">
        <f t="shared" si="2"/>
        <v>1</v>
      </c>
      <c r="AJ8" s="35" t="s">
        <v>13</v>
      </c>
      <c r="AK8" s="38">
        <v>5003.7166666666662</v>
      </c>
      <c r="AL8" s="39">
        <v>5239.4333333333325</v>
      </c>
      <c r="AM8" s="47">
        <f t="shared" si="3"/>
        <v>10243.149999999998</v>
      </c>
      <c r="AN8" s="51" t="s">
        <v>13</v>
      </c>
      <c r="AO8">
        <v>4904</v>
      </c>
      <c r="AP8">
        <v>5324</v>
      </c>
      <c r="AQ8" s="52">
        <f t="shared" si="4"/>
        <v>10228</v>
      </c>
      <c r="AR8" s="56">
        <f t="shared" si="5"/>
        <v>0.99852096278976699</v>
      </c>
      <c r="AT8" s="61" t="s">
        <v>16</v>
      </c>
      <c r="AU8" s="62">
        <v>0.9</v>
      </c>
      <c r="AV8" s="62">
        <v>0.98040000000000005</v>
      </c>
      <c r="AW8" s="63">
        <f t="shared" si="6"/>
        <v>1.0893333333333333</v>
      </c>
      <c r="AX8" s="62">
        <v>0.9</v>
      </c>
      <c r="AY8" s="62">
        <v>0.95620000000000005</v>
      </c>
      <c r="AZ8" s="62">
        <v>0.9</v>
      </c>
      <c r="BA8" s="62">
        <v>0.96829999999999994</v>
      </c>
      <c r="BB8" s="64">
        <f t="shared" si="7"/>
        <v>1.0758888888888889</v>
      </c>
    </row>
    <row r="9" spans="2:54" ht="15.75" thickBot="1" x14ac:dyDescent="0.3">
      <c r="B9" s="3" t="s">
        <v>18</v>
      </c>
      <c r="C9" s="4">
        <v>691124</v>
      </c>
      <c r="D9" s="4">
        <v>672088</v>
      </c>
      <c r="E9" s="7">
        <f t="shared" si="0"/>
        <v>0.97245646222674942</v>
      </c>
      <c r="F9" s="5">
        <v>0.85</v>
      </c>
      <c r="G9" s="5">
        <v>0.84</v>
      </c>
      <c r="H9" s="7">
        <f t="shared" si="1"/>
        <v>0.9882352941176471</v>
      </c>
      <c r="J9" s="14" t="s">
        <v>17</v>
      </c>
      <c r="K9" s="15">
        <v>0.86</v>
      </c>
      <c r="L9" s="21">
        <v>0.86099999999999999</v>
      </c>
      <c r="M9" s="24">
        <v>1.0011627906976743</v>
      </c>
      <c r="N9" s="15">
        <v>0.9</v>
      </c>
      <c r="O9" s="21">
        <v>0.96599999999999997</v>
      </c>
      <c r="P9" s="24">
        <v>1.0733333333333333</v>
      </c>
      <c r="S9" s="26" t="s">
        <v>16</v>
      </c>
      <c r="T9" s="27">
        <v>0.5696969696969697</v>
      </c>
      <c r="U9" s="27">
        <v>0.49332267166662075</v>
      </c>
      <c r="V9" s="11"/>
      <c r="W9" s="23" t="s">
        <v>16</v>
      </c>
      <c r="X9" s="27">
        <v>1.1223880597014926</v>
      </c>
      <c r="Y9" s="27">
        <v>0.87051457906101892</v>
      </c>
      <c r="AA9" s="14" t="s">
        <v>17</v>
      </c>
      <c r="AB9" s="27">
        <v>0.98023704440538506</v>
      </c>
      <c r="AC9" s="27">
        <v>1.0126582278481013</v>
      </c>
      <c r="AE9" s="14" t="s">
        <v>17</v>
      </c>
      <c r="AF9" s="30">
        <v>1</v>
      </c>
      <c r="AG9" s="30">
        <v>1</v>
      </c>
      <c r="AH9" s="30">
        <f t="shared" si="2"/>
        <v>1</v>
      </c>
      <c r="AJ9" s="35" t="s">
        <v>14</v>
      </c>
      <c r="AK9" s="36">
        <v>1782.0683333333334</v>
      </c>
      <c r="AL9" s="37">
        <v>1873.1366666666668</v>
      </c>
      <c r="AM9" s="47">
        <f t="shared" si="3"/>
        <v>3655.2049999999999</v>
      </c>
      <c r="AN9" s="51" t="s">
        <v>14</v>
      </c>
      <c r="AO9">
        <v>1734</v>
      </c>
      <c r="AP9">
        <v>1801</v>
      </c>
      <c r="AQ9" s="52">
        <f t="shared" si="4"/>
        <v>3535</v>
      </c>
      <c r="AR9" s="56">
        <f t="shared" si="5"/>
        <v>0.96711401959671206</v>
      </c>
      <c r="AT9" s="61" t="s">
        <v>17</v>
      </c>
      <c r="AU9" s="62">
        <v>0.9</v>
      </c>
      <c r="AV9" s="62">
        <v>1</v>
      </c>
      <c r="AW9" s="63">
        <f t="shared" si="6"/>
        <v>1.1111111111111112</v>
      </c>
      <c r="AX9" s="62">
        <v>0.9</v>
      </c>
      <c r="AY9" s="62">
        <v>1</v>
      </c>
      <c r="AZ9" s="62">
        <v>0.9</v>
      </c>
      <c r="BA9" s="62">
        <v>1</v>
      </c>
      <c r="BB9" s="64">
        <f t="shared" si="7"/>
        <v>1.1111111111111112</v>
      </c>
    </row>
    <row r="10" spans="2:54" ht="15.75" thickBot="1" x14ac:dyDescent="0.3">
      <c r="B10" s="3" t="s">
        <v>66</v>
      </c>
      <c r="C10" s="5" t="s">
        <v>67</v>
      </c>
      <c r="D10" s="5" t="s">
        <v>67</v>
      </c>
      <c r="E10" s="7"/>
      <c r="F10" s="5">
        <v>1.06</v>
      </c>
      <c r="G10" s="5">
        <v>1.52</v>
      </c>
      <c r="H10" s="7">
        <f t="shared" si="1"/>
        <v>1.4339622641509433</v>
      </c>
      <c r="J10" s="14" t="s">
        <v>18</v>
      </c>
      <c r="K10" s="15">
        <v>0.94</v>
      </c>
      <c r="L10" s="21">
        <v>0.99</v>
      </c>
      <c r="M10" s="24">
        <v>1.0531914893617023</v>
      </c>
      <c r="N10" s="15">
        <v>0.95</v>
      </c>
      <c r="O10" s="21">
        <v>0.97699999999999998</v>
      </c>
      <c r="P10" s="24">
        <v>1.0284210526315789</v>
      </c>
      <c r="S10" s="26" t="s">
        <v>18</v>
      </c>
      <c r="T10" s="27">
        <v>0.64417177914110424</v>
      </c>
      <c r="U10" s="27">
        <v>0.63667376169960077</v>
      </c>
      <c r="V10" s="11"/>
      <c r="W10" s="23" t="s">
        <v>15</v>
      </c>
      <c r="X10" s="27">
        <v>1.2970922882427307</v>
      </c>
      <c r="Y10" s="27">
        <v>1.1659972612244258</v>
      </c>
      <c r="AA10" s="14" t="s">
        <v>18</v>
      </c>
      <c r="AB10" s="27">
        <v>0.97245646222674942</v>
      </c>
      <c r="AC10" s="27">
        <v>0.9882352941176471</v>
      </c>
      <c r="AE10" s="14" t="s">
        <v>18</v>
      </c>
      <c r="AF10" s="30">
        <v>1</v>
      </c>
      <c r="AG10" s="30">
        <v>1</v>
      </c>
      <c r="AH10" s="30">
        <f t="shared" si="2"/>
        <v>1</v>
      </c>
      <c r="AJ10" s="35" t="s">
        <v>17</v>
      </c>
      <c r="AK10" s="36">
        <v>422.73333333333335</v>
      </c>
      <c r="AL10" s="37">
        <v>441.4666666666667</v>
      </c>
      <c r="AM10" s="47">
        <f t="shared" si="3"/>
        <v>864.2</v>
      </c>
      <c r="AN10" s="51" t="s">
        <v>17</v>
      </c>
      <c r="AO10">
        <v>442</v>
      </c>
      <c r="AP10">
        <v>495</v>
      </c>
      <c r="AQ10" s="52">
        <f t="shared" si="4"/>
        <v>937</v>
      </c>
      <c r="AR10" s="56">
        <f t="shared" si="5"/>
        <v>1.0842397593149733</v>
      </c>
      <c r="AT10" s="61" t="s">
        <v>18</v>
      </c>
      <c r="AU10" s="62">
        <v>0.9</v>
      </c>
      <c r="AV10" s="62">
        <v>0.97850000000000004</v>
      </c>
      <c r="AW10" s="63">
        <f t="shared" si="6"/>
        <v>1.0872222222222223</v>
      </c>
      <c r="AX10" s="62">
        <v>0.9</v>
      </c>
      <c r="AY10" s="62">
        <v>0.96430000000000005</v>
      </c>
      <c r="AZ10" s="62">
        <v>0.9</v>
      </c>
      <c r="BA10" s="62">
        <v>0.97140000000000004</v>
      </c>
      <c r="BB10" s="64">
        <f t="shared" si="7"/>
        <v>1.0793333333333333</v>
      </c>
    </row>
    <row r="11" spans="2:54" ht="15.75" thickBot="1" x14ac:dyDescent="0.3">
      <c r="B11" s="3" t="s">
        <v>68</v>
      </c>
      <c r="C11" s="5" t="s">
        <v>67</v>
      </c>
      <c r="D11" s="5">
        <v>351</v>
      </c>
      <c r="E11" s="7"/>
      <c r="F11" s="5">
        <v>1.84</v>
      </c>
      <c r="G11" s="5">
        <v>0.5</v>
      </c>
      <c r="H11" s="7">
        <f t="shared" si="1"/>
        <v>0.27173913043478259</v>
      </c>
      <c r="J11" s="14" t="s">
        <v>19</v>
      </c>
      <c r="K11" s="15">
        <v>0.7</v>
      </c>
      <c r="L11" s="21">
        <v>0.76400000000000001</v>
      </c>
      <c r="M11" s="24">
        <v>1.0914285714285714</v>
      </c>
      <c r="N11" s="15">
        <v>0.83</v>
      </c>
      <c r="O11" s="21">
        <v>0.95199999999999996</v>
      </c>
      <c r="P11" s="24">
        <v>1.146987951807229</v>
      </c>
      <c r="S11" s="26" t="s">
        <v>17</v>
      </c>
      <c r="T11" s="27">
        <v>0.7469670710571924</v>
      </c>
      <c r="U11" s="27">
        <v>0.7659160364557156</v>
      </c>
      <c r="V11" s="11"/>
      <c r="W11" s="23" t="s">
        <v>18</v>
      </c>
      <c r="X11" s="27">
        <v>1.4946619217081851</v>
      </c>
      <c r="Y11" s="27">
        <v>1.3219074500547578</v>
      </c>
      <c r="AA11" s="14" t="s">
        <v>19</v>
      </c>
      <c r="AB11" s="27">
        <v>1.0057885304284726</v>
      </c>
      <c r="AC11" s="27">
        <v>0.91836734693877553</v>
      </c>
      <c r="AE11" s="14" t="s">
        <v>19</v>
      </c>
      <c r="AF11" s="30">
        <v>1</v>
      </c>
      <c r="AG11" s="30">
        <v>1</v>
      </c>
      <c r="AH11" s="30">
        <f t="shared" si="2"/>
        <v>1</v>
      </c>
      <c r="AJ11" s="35" t="s">
        <v>26</v>
      </c>
      <c r="AK11" s="36">
        <v>476.79583333333335</v>
      </c>
      <c r="AL11" s="37">
        <v>493.5916666666667</v>
      </c>
      <c r="AM11" s="47">
        <f t="shared" si="3"/>
        <v>970.38750000000005</v>
      </c>
      <c r="AN11" s="51" t="s">
        <v>26</v>
      </c>
      <c r="AO11">
        <v>471</v>
      </c>
      <c r="AP11">
        <v>480</v>
      </c>
      <c r="AQ11" s="52">
        <f t="shared" si="4"/>
        <v>951</v>
      </c>
      <c r="AR11" s="56">
        <f t="shared" si="5"/>
        <v>0.98002086795223553</v>
      </c>
      <c r="AT11" s="61" t="s">
        <v>19</v>
      </c>
      <c r="AU11" s="62">
        <v>0.9</v>
      </c>
      <c r="AV11" s="62">
        <v>0.95030000000000003</v>
      </c>
      <c r="AW11" s="63">
        <f t="shared" si="6"/>
        <v>1.0558888888888889</v>
      </c>
      <c r="AX11" s="62">
        <v>0.9</v>
      </c>
      <c r="AY11" s="62">
        <v>0.99</v>
      </c>
      <c r="AZ11" s="62">
        <v>0.9</v>
      </c>
      <c r="BA11" s="62">
        <v>0.97014999999999996</v>
      </c>
      <c r="BB11" s="64">
        <f t="shared" si="7"/>
        <v>1.0779444444444444</v>
      </c>
    </row>
    <row r="12" spans="2:54" ht="15.75" thickBot="1" x14ac:dyDescent="0.3">
      <c r="B12" s="3" t="s">
        <v>69</v>
      </c>
      <c r="C12" s="5" t="s">
        <v>67</v>
      </c>
      <c r="D12" s="5" t="s">
        <v>67</v>
      </c>
      <c r="E12" s="7"/>
      <c r="F12" s="5">
        <v>1.21</v>
      </c>
      <c r="G12" s="5" t="s">
        <v>67</v>
      </c>
      <c r="H12" s="7"/>
      <c r="J12" s="14" t="s">
        <v>20</v>
      </c>
      <c r="K12" s="15">
        <v>0.7</v>
      </c>
      <c r="L12" s="21">
        <v>0.60599999999999998</v>
      </c>
      <c r="M12" s="24">
        <v>0.86571428571428577</v>
      </c>
      <c r="N12" s="15">
        <v>0.83</v>
      </c>
      <c r="O12" s="21">
        <v>1</v>
      </c>
      <c r="P12" s="24">
        <v>1.2048192771084338</v>
      </c>
      <c r="S12" s="26" t="s">
        <v>33</v>
      </c>
      <c r="T12" s="27">
        <v>0.73634651600753298</v>
      </c>
      <c r="U12" s="27">
        <v>0.82265570616254602</v>
      </c>
      <c r="V12" s="11"/>
      <c r="W12" s="23" t="s">
        <v>17</v>
      </c>
      <c r="X12" s="27">
        <v>0.68849840255591055</v>
      </c>
      <c r="Y12" s="27">
        <v>0.58887508986235138</v>
      </c>
      <c r="AA12" s="14" t="s">
        <v>20</v>
      </c>
      <c r="AB12" s="27">
        <v>1.0282037775105271</v>
      </c>
      <c r="AC12" s="27">
        <v>1.0265486725663717</v>
      </c>
      <c r="AE12" s="14" t="s">
        <v>20</v>
      </c>
      <c r="AF12" s="30">
        <v>1</v>
      </c>
      <c r="AG12" s="30">
        <v>1</v>
      </c>
      <c r="AH12" s="30">
        <f t="shared" si="2"/>
        <v>1</v>
      </c>
      <c r="AJ12" s="35" t="s">
        <v>25</v>
      </c>
      <c r="AK12" s="38">
        <v>348.1</v>
      </c>
      <c r="AL12" s="39">
        <v>362.20000000000005</v>
      </c>
      <c r="AM12" s="47">
        <f t="shared" si="3"/>
        <v>710.30000000000007</v>
      </c>
      <c r="AN12" s="51" t="s">
        <v>25</v>
      </c>
      <c r="AO12">
        <v>336</v>
      </c>
      <c r="AP12">
        <v>360</v>
      </c>
      <c r="AQ12" s="52">
        <f t="shared" si="4"/>
        <v>696</v>
      </c>
      <c r="AR12" s="56">
        <f t="shared" si="5"/>
        <v>0.97986766155145699</v>
      </c>
      <c r="AT12" s="61" t="s">
        <v>20</v>
      </c>
      <c r="AU12" s="62">
        <v>0.9</v>
      </c>
      <c r="AV12" s="62">
        <v>1</v>
      </c>
      <c r="AW12" s="63">
        <f t="shared" si="6"/>
        <v>1.1111111111111112</v>
      </c>
      <c r="AX12" s="62">
        <v>0.9</v>
      </c>
      <c r="AY12" s="62">
        <v>0.97219999999999995</v>
      </c>
      <c r="AZ12" s="62">
        <v>0.9</v>
      </c>
      <c r="BA12" s="62">
        <v>0.98609999999999998</v>
      </c>
      <c r="BB12" s="64">
        <f t="shared" si="7"/>
        <v>1.0956666666666666</v>
      </c>
    </row>
    <row r="13" spans="2:54" ht="15.75" thickBot="1" x14ac:dyDescent="0.3">
      <c r="B13" s="3" t="s">
        <v>70</v>
      </c>
      <c r="C13" s="5" t="s">
        <v>67</v>
      </c>
      <c r="D13" s="5" t="s">
        <v>67</v>
      </c>
      <c r="E13" s="7"/>
      <c r="F13" s="5">
        <v>1.06</v>
      </c>
      <c r="G13" s="5">
        <v>0.53</v>
      </c>
      <c r="H13" s="7">
        <f t="shared" si="1"/>
        <v>0.5</v>
      </c>
      <c r="J13" s="14" t="s">
        <v>21</v>
      </c>
      <c r="K13" s="15">
        <v>0.7</v>
      </c>
      <c r="L13" s="21">
        <v>0.59399999999999997</v>
      </c>
      <c r="M13" s="24">
        <v>0.84857142857142853</v>
      </c>
      <c r="N13" s="15">
        <v>0.83</v>
      </c>
      <c r="O13" s="21">
        <v>0.90900000000000003</v>
      </c>
      <c r="P13" s="24">
        <v>1.0951807228915664</v>
      </c>
      <c r="S13" s="26" t="s">
        <v>19</v>
      </c>
      <c r="T13" s="27">
        <v>0.93927893738140422</v>
      </c>
      <c r="U13" s="27">
        <v>0.95493358633776082</v>
      </c>
      <c r="V13" s="11"/>
      <c r="W13" s="23" t="s">
        <v>22</v>
      </c>
      <c r="X13" s="27">
        <v>0.92715231788079466</v>
      </c>
      <c r="Y13" s="27">
        <v>0.78000111389873616</v>
      </c>
      <c r="AA13" s="14" t="s">
        <v>21</v>
      </c>
      <c r="AB13" s="27">
        <v>1.0626018654884635</v>
      </c>
      <c r="AC13" s="27">
        <v>1.0999999999999999</v>
      </c>
      <c r="AE13" s="14" t="s">
        <v>21</v>
      </c>
      <c r="AF13" s="30">
        <v>1</v>
      </c>
      <c r="AG13" s="30">
        <v>1</v>
      </c>
      <c r="AH13" s="30">
        <f t="shared" si="2"/>
        <v>1</v>
      </c>
      <c r="AJ13" s="35" t="s">
        <v>21</v>
      </c>
      <c r="AK13" s="38">
        <v>93.224999999999994</v>
      </c>
      <c r="AL13" s="39">
        <v>98.449999999999989</v>
      </c>
      <c r="AM13" s="47">
        <f t="shared" si="3"/>
        <v>191.67499999999998</v>
      </c>
      <c r="AN13" s="51" t="s">
        <v>21</v>
      </c>
      <c r="AO13">
        <v>88</v>
      </c>
      <c r="AP13">
        <v>90</v>
      </c>
      <c r="AQ13" s="52">
        <f t="shared" si="4"/>
        <v>178</v>
      </c>
      <c r="AR13" s="56">
        <f t="shared" si="5"/>
        <v>0.92865527585757146</v>
      </c>
      <c r="AT13" s="61" t="s">
        <v>21</v>
      </c>
      <c r="AU13" s="62">
        <v>0.9</v>
      </c>
      <c r="AV13" s="62">
        <v>1</v>
      </c>
      <c r="AW13" s="63">
        <f t="shared" si="6"/>
        <v>1.1111111111111112</v>
      </c>
      <c r="AX13" s="62">
        <v>0.9</v>
      </c>
      <c r="AY13" s="62">
        <v>0.90680000000000005</v>
      </c>
      <c r="AZ13" s="62">
        <v>0.9</v>
      </c>
      <c r="BA13" s="62">
        <v>0.95340000000000003</v>
      </c>
      <c r="BB13" s="64">
        <f t="shared" si="7"/>
        <v>1.0593333333333332</v>
      </c>
    </row>
    <row r="14" spans="2:54" ht="15.75" thickBot="1" x14ac:dyDescent="0.3">
      <c r="B14" s="3" t="s">
        <v>71</v>
      </c>
      <c r="C14" s="5" t="s">
        <v>67</v>
      </c>
      <c r="D14" s="5" t="s">
        <v>67</v>
      </c>
      <c r="E14" s="7"/>
      <c r="F14" s="5">
        <v>1.07</v>
      </c>
      <c r="G14" s="5" t="s">
        <v>67</v>
      </c>
      <c r="H14" s="7"/>
      <c r="J14" s="14" t="s">
        <v>22</v>
      </c>
      <c r="K14" s="15">
        <v>0.7</v>
      </c>
      <c r="L14" s="21">
        <v>0.82199999999999995</v>
      </c>
      <c r="M14" s="24">
        <v>1.1742857142857144</v>
      </c>
      <c r="N14" s="15">
        <v>0.88</v>
      </c>
      <c r="O14" s="21">
        <v>0.94</v>
      </c>
      <c r="P14" s="24">
        <v>1.0681818181818181</v>
      </c>
      <c r="S14" s="26" t="s">
        <v>22</v>
      </c>
      <c r="T14" s="27">
        <v>0.83832335329341312</v>
      </c>
      <c r="U14" s="27">
        <v>0.89685678515841383</v>
      </c>
      <c r="V14" s="11"/>
      <c r="W14" s="23" t="s">
        <v>23</v>
      </c>
      <c r="X14" s="27">
        <v>0.75126050420168067</v>
      </c>
      <c r="Y14" s="27">
        <v>0.68330768036167233</v>
      </c>
      <c r="AA14" s="14" t="s">
        <v>22</v>
      </c>
      <c r="AB14" s="27">
        <v>0.96809832832141918</v>
      </c>
      <c r="AC14" s="27">
        <v>0.93377483443708609</v>
      </c>
      <c r="AE14" s="14" t="s">
        <v>22</v>
      </c>
      <c r="AF14" s="30">
        <v>1</v>
      </c>
      <c r="AG14" s="30">
        <v>1</v>
      </c>
      <c r="AH14" s="30">
        <f t="shared" si="2"/>
        <v>1</v>
      </c>
      <c r="AJ14" s="35" t="s">
        <v>19</v>
      </c>
      <c r="AK14" s="38">
        <v>183.82916666666665</v>
      </c>
      <c r="AL14" s="39">
        <v>196.6583333333333</v>
      </c>
      <c r="AM14" s="47">
        <f t="shared" si="3"/>
        <v>380.48749999999995</v>
      </c>
      <c r="AN14" s="51" t="s">
        <v>19</v>
      </c>
      <c r="AO14">
        <v>178</v>
      </c>
      <c r="AP14">
        <v>201</v>
      </c>
      <c r="AQ14" s="52">
        <f t="shared" si="4"/>
        <v>379</v>
      </c>
      <c r="AR14" s="56">
        <f t="shared" si="5"/>
        <v>0.9960905417392163</v>
      </c>
      <c r="AT14" s="61" t="s">
        <v>22</v>
      </c>
      <c r="AU14" s="62">
        <v>0.9</v>
      </c>
      <c r="AV14" s="62">
        <v>1</v>
      </c>
      <c r="AW14" s="63">
        <f t="shared" si="6"/>
        <v>1.1111111111111112</v>
      </c>
      <c r="AX14" s="62">
        <v>0.9</v>
      </c>
      <c r="AY14" s="62">
        <v>1</v>
      </c>
      <c r="AZ14" s="62">
        <v>0.9</v>
      </c>
      <c r="BA14" s="62">
        <v>1</v>
      </c>
      <c r="BB14" s="64">
        <f t="shared" si="7"/>
        <v>1.1111111111111112</v>
      </c>
    </row>
    <row r="15" spans="2:54" ht="15.75" thickBot="1" x14ac:dyDescent="0.3">
      <c r="B15" s="3" t="s">
        <v>72</v>
      </c>
      <c r="C15" s="5" t="s">
        <v>67</v>
      </c>
      <c r="D15" s="5" t="s">
        <v>67</v>
      </c>
      <c r="E15" s="7"/>
      <c r="F15" s="5">
        <v>1.06</v>
      </c>
      <c r="G15" s="5">
        <v>2.76</v>
      </c>
      <c r="H15" s="7">
        <f t="shared" si="1"/>
        <v>2.6037735849056602</v>
      </c>
      <c r="J15" s="14" t="s">
        <v>23</v>
      </c>
      <c r="K15" s="15">
        <v>0.75</v>
      </c>
      <c r="L15" s="21">
        <v>0.76800000000000002</v>
      </c>
      <c r="M15" s="24">
        <v>1.024</v>
      </c>
      <c r="N15" s="15">
        <v>0.83</v>
      </c>
      <c r="O15" s="21">
        <v>0.8</v>
      </c>
      <c r="P15" s="24">
        <v>0.96385542168674709</v>
      </c>
      <c r="S15" s="26" t="s">
        <v>26</v>
      </c>
      <c r="T15" s="27">
        <v>0.68376068376068377</v>
      </c>
      <c r="U15" s="27">
        <v>0.81382727219889506</v>
      </c>
      <c r="V15" s="11"/>
      <c r="W15" s="23" t="s">
        <v>25</v>
      </c>
      <c r="X15" s="27">
        <v>0.76970954356846477</v>
      </c>
      <c r="Y15" s="27">
        <v>0.68543274579639368</v>
      </c>
      <c r="AA15" s="14" t="s">
        <v>23</v>
      </c>
      <c r="AB15" s="27">
        <v>1.1357955666644741</v>
      </c>
      <c r="AC15" s="27">
        <v>0.9928057553956835</v>
      </c>
      <c r="AE15" s="14" t="s">
        <v>23</v>
      </c>
      <c r="AF15" s="30">
        <v>1</v>
      </c>
      <c r="AG15" s="30">
        <v>1</v>
      </c>
      <c r="AH15" s="30">
        <f t="shared" si="2"/>
        <v>1</v>
      </c>
      <c r="AJ15" s="35" t="s">
        <v>23</v>
      </c>
      <c r="AK15" s="38">
        <v>103.07916666666667</v>
      </c>
      <c r="AL15" s="39">
        <v>121.15833333333333</v>
      </c>
      <c r="AM15" s="47">
        <f t="shared" si="3"/>
        <v>224.23750000000001</v>
      </c>
      <c r="AN15" s="51" t="s">
        <v>23</v>
      </c>
      <c r="AO15">
        <v>91</v>
      </c>
      <c r="AP15">
        <v>97</v>
      </c>
      <c r="AQ15" s="52">
        <f t="shared" si="4"/>
        <v>188</v>
      </c>
      <c r="AR15" s="56">
        <f t="shared" si="5"/>
        <v>0.83839678911867987</v>
      </c>
      <c r="AT15" s="61" t="s">
        <v>23</v>
      </c>
      <c r="AU15" s="62">
        <v>0.9</v>
      </c>
      <c r="AV15" s="62">
        <v>1</v>
      </c>
      <c r="AW15" s="63">
        <f t="shared" si="6"/>
        <v>1.1111111111111112</v>
      </c>
      <c r="AX15" s="62">
        <v>0.9</v>
      </c>
      <c r="AY15" s="62">
        <v>0.95469999999999999</v>
      </c>
      <c r="AZ15" s="62">
        <v>0.9</v>
      </c>
      <c r="BA15" s="62">
        <v>0.97735000000000005</v>
      </c>
      <c r="BB15" s="64">
        <f t="shared" si="7"/>
        <v>1.0859444444444444</v>
      </c>
    </row>
    <row r="16" spans="2:54" ht="15.75" thickBot="1" x14ac:dyDescent="0.3">
      <c r="B16" s="3" t="s">
        <v>73</v>
      </c>
      <c r="C16" s="5" t="s">
        <v>67</v>
      </c>
      <c r="D16" s="5" t="s">
        <v>67</v>
      </c>
      <c r="E16" s="7"/>
      <c r="F16" s="5">
        <v>1.07</v>
      </c>
      <c r="G16" s="5">
        <v>0.38</v>
      </c>
      <c r="H16" s="7">
        <f t="shared" si="1"/>
        <v>0.35514018691588783</v>
      </c>
      <c r="J16" s="14" t="s">
        <v>25</v>
      </c>
      <c r="K16" s="15">
        <v>0.84</v>
      </c>
      <c r="L16" s="21">
        <v>0.91200000000000003</v>
      </c>
      <c r="M16" s="24">
        <v>1.0857142857142859</v>
      </c>
      <c r="N16" s="15">
        <v>0.9</v>
      </c>
      <c r="O16" s="21">
        <v>0.94399999999999995</v>
      </c>
      <c r="P16" s="24">
        <v>1.0488888888888888</v>
      </c>
      <c r="S16" s="26" t="s">
        <v>25</v>
      </c>
      <c r="T16" s="27">
        <v>0.82444444444444442</v>
      </c>
      <c r="U16" s="27">
        <v>0.76684654300168642</v>
      </c>
      <c r="V16" s="11"/>
      <c r="W16" s="23" t="s">
        <v>26</v>
      </c>
      <c r="X16" s="27">
        <v>1.1469534050179211</v>
      </c>
      <c r="Y16" s="27">
        <v>1.2034473422619576</v>
      </c>
      <c r="AA16" s="14" t="s">
        <v>25</v>
      </c>
      <c r="AB16" s="27">
        <v>0.90039764800375133</v>
      </c>
      <c r="AC16" s="27">
        <v>1.1496062992125984</v>
      </c>
      <c r="AE16" s="14" t="s">
        <v>25</v>
      </c>
      <c r="AF16" s="30">
        <v>1</v>
      </c>
      <c r="AG16" s="30">
        <v>1</v>
      </c>
      <c r="AH16" s="30">
        <f t="shared" si="2"/>
        <v>1</v>
      </c>
      <c r="AJ16" s="35" t="s">
        <v>22</v>
      </c>
      <c r="AK16" s="38">
        <v>416.03750000000002</v>
      </c>
      <c r="AL16" s="39">
        <v>425.07500000000005</v>
      </c>
      <c r="AM16" s="47">
        <f t="shared" si="3"/>
        <v>841.11250000000007</v>
      </c>
      <c r="AN16" s="51" t="s">
        <v>22</v>
      </c>
      <c r="AO16">
        <v>414</v>
      </c>
      <c r="AP16">
        <v>421</v>
      </c>
      <c r="AQ16" s="52">
        <f t="shared" si="4"/>
        <v>835</v>
      </c>
      <c r="AR16" s="56">
        <f t="shared" si="5"/>
        <v>0.99273283894841646</v>
      </c>
      <c r="AT16" s="61" t="s">
        <v>25</v>
      </c>
      <c r="AU16" s="62">
        <v>0.9</v>
      </c>
      <c r="AV16" s="62">
        <v>0.91300000000000003</v>
      </c>
      <c r="AW16" s="63">
        <f t="shared" si="6"/>
        <v>1.0144444444444445</v>
      </c>
      <c r="AX16" s="62">
        <v>0.9</v>
      </c>
      <c r="AY16" s="62">
        <v>0.98919999999999997</v>
      </c>
      <c r="AZ16" s="62">
        <v>0.9</v>
      </c>
      <c r="BA16" s="62">
        <v>0.95110000000000006</v>
      </c>
      <c r="BB16" s="64">
        <f t="shared" si="7"/>
        <v>1.0567777777777778</v>
      </c>
    </row>
    <row r="17" spans="2:54" ht="15.75" thickBot="1" x14ac:dyDescent="0.3">
      <c r="B17" s="3" t="s">
        <v>74</v>
      </c>
      <c r="C17" s="4">
        <v>10000</v>
      </c>
      <c r="D17" s="5">
        <v>954</v>
      </c>
      <c r="E17" s="7">
        <f t="shared" si="0"/>
        <v>9.5399999999999999E-2</v>
      </c>
      <c r="F17" s="5">
        <v>1.84</v>
      </c>
      <c r="G17" s="5">
        <v>0.79</v>
      </c>
      <c r="H17" s="7">
        <f t="shared" si="1"/>
        <v>0.42934782608695654</v>
      </c>
      <c r="J17" s="14" t="s">
        <v>26</v>
      </c>
      <c r="K17" s="15">
        <v>0.85</v>
      </c>
      <c r="L17" s="21">
        <v>0.875</v>
      </c>
      <c r="M17" s="24">
        <v>1.0294117647058825</v>
      </c>
      <c r="N17" s="15">
        <v>0.87</v>
      </c>
      <c r="O17" s="21">
        <v>0.94099999999999995</v>
      </c>
      <c r="P17" s="24">
        <v>1.0816091954022988</v>
      </c>
      <c r="S17" s="26" t="s">
        <v>23</v>
      </c>
      <c r="T17" s="27">
        <v>1.1919999999999999</v>
      </c>
      <c r="U17" s="27">
        <v>1.2394841889117043</v>
      </c>
      <c r="V17" s="11"/>
      <c r="W17" s="23" t="s">
        <v>20</v>
      </c>
      <c r="X17" s="27">
        <v>1.1839826839826839</v>
      </c>
      <c r="Y17" s="27">
        <v>1.0662325812873259</v>
      </c>
      <c r="AA17" s="14" t="s">
        <v>26</v>
      </c>
      <c r="AB17" s="27">
        <v>0.91089447511944699</v>
      </c>
      <c r="AC17" s="27">
        <v>0.90588235294117647</v>
      </c>
      <c r="AE17" s="14" t="s">
        <v>26</v>
      </c>
      <c r="AF17" s="30">
        <v>1</v>
      </c>
      <c r="AG17" s="30">
        <v>1</v>
      </c>
      <c r="AH17" s="30">
        <f t="shared" si="2"/>
        <v>1</v>
      </c>
      <c r="AJ17" s="35" t="s">
        <v>20</v>
      </c>
      <c r="AK17" s="38">
        <v>177.55</v>
      </c>
      <c r="AL17" s="39">
        <v>187.10000000000002</v>
      </c>
      <c r="AM17" s="47">
        <f t="shared" si="3"/>
        <v>364.65000000000003</v>
      </c>
      <c r="AN17" s="51" t="s">
        <v>20</v>
      </c>
      <c r="AO17">
        <v>177</v>
      </c>
      <c r="AP17">
        <v>185</v>
      </c>
      <c r="AQ17" s="52">
        <f t="shared" si="4"/>
        <v>362</v>
      </c>
      <c r="AR17" s="56">
        <f t="shared" si="5"/>
        <v>0.99273275743863965</v>
      </c>
      <c r="AT17" s="61" t="s">
        <v>26</v>
      </c>
      <c r="AU17" s="62">
        <v>0.9</v>
      </c>
      <c r="AV17" s="62">
        <v>0.97519999999999996</v>
      </c>
      <c r="AW17" s="63">
        <f t="shared" si="6"/>
        <v>1.0835555555555554</v>
      </c>
      <c r="AX17" s="62">
        <v>0.9</v>
      </c>
      <c r="AY17" s="62">
        <v>0.95520000000000005</v>
      </c>
      <c r="AZ17" s="62">
        <v>0.9</v>
      </c>
      <c r="BA17" s="62">
        <v>0.96520000000000006</v>
      </c>
      <c r="BB17" s="64">
        <f t="shared" si="7"/>
        <v>1.0724444444444445</v>
      </c>
    </row>
    <row r="18" spans="2:54" ht="15.75" thickBot="1" x14ac:dyDescent="0.3">
      <c r="B18" s="3" t="s">
        <v>75</v>
      </c>
      <c r="C18" s="5" t="s">
        <v>67</v>
      </c>
      <c r="D18" s="5" t="s">
        <v>67</v>
      </c>
      <c r="E18" s="7"/>
      <c r="F18" s="5">
        <v>1.06</v>
      </c>
      <c r="G18" s="5" t="s">
        <v>67</v>
      </c>
      <c r="H18" s="7"/>
      <c r="J18" s="14" t="s">
        <v>27</v>
      </c>
      <c r="K18" s="15">
        <v>0.7</v>
      </c>
      <c r="L18" s="21">
        <v>0.51500000000000001</v>
      </c>
      <c r="M18" s="24">
        <v>0.73571428571428577</v>
      </c>
      <c r="N18" s="15">
        <v>0.88</v>
      </c>
      <c r="O18" s="21">
        <v>0.93100000000000005</v>
      </c>
      <c r="P18" s="24">
        <v>1.0579545454545456</v>
      </c>
      <c r="S18" s="26" t="s">
        <v>21</v>
      </c>
      <c r="T18" s="27">
        <v>1.2015810276679841</v>
      </c>
      <c r="U18" s="27">
        <v>1.4198636858832958</v>
      </c>
      <c r="V18" s="11"/>
      <c r="W18" s="23" t="s">
        <v>21</v>
      </c>
      <c r="X18" s="27">
        <v>1.2666666666666666</v>
      </c>
      <c r="Y18" s="27">
        <v>1.0271829916476842</v>
      </c>
      <c r="AA18" s="14" t="s">
        <v>27</v>
      </c>
      <c r="AB18" s="27">
        <v>1</v>
      </c>
      <c r="AC18" s="27">
        <v>0.92322791712104679</v>
      </c>
      <c r="AE18" s="14" t="s">
        <v>27</v>
      </c>
      <c r="AF18" s="30">
        <v>1</v>
      </c>
      <c r="AG18" s="30">
        <v>1</v>
      </c>
      <c r="AH18" s="30">
        <f t="shared" si="2"/>
        <v>1</v>
      </c>
      <c r="AJ18" s="35" t="s">
        <v>76</v>
      </c>
      <c r="AK18" s="40">
        <v>42.2</v>
      </c>
      <c r="AL18" s="41">
        <v>56.400000000000006</v>
      </c>
      <c r="AM18" s="48">
        <f t="shared" si="3"/>
        <v>98.600000000000009</v>
      </c>
      <c r="AN18" s="53" t="s">
        <v>76</v>
      </c>
      <c r="AO18" s="54">
        <v>44</v>
      </c>
      <c r="AP18" s="54">
        <v>67</v>
      </c>
      <c r="AQ18" s="55">
        <f t="shared" si="4"/>
        <v>111</v>
      </c>
      <c r="AR18" s="57">
        <f t="shared" si="5"/>
        <v>1.125760649087221</v>
      </c>
      <c r="AT18" s="61" t="s">
        <v>27</v>
      </c>
      <c r="AU18" s="62">
        <v>0.9</v>
      </c>
      <c r="AV18" s="62">
        <v>0.9</v>
      </c>
      <c r="AW18" s="63">
        <f t="shared" si="6"/>
        <v>1</v>
      </c>
      <c r="AX18" s="62">
        <v>0.9</v>
      </c>
      <c r="AY18" s="62">
        <v>0.79</v>
      </c>
      <c r="AZ18" s="62">
        <v>0.9</v>
      </c>
      <c r="BA18" s="62">
        <v>0.84499999999999997</v>
      </c>
      <c r="BB18" s="64">
        <f t="shared" si="7"/>
        <v>0.93888888888888888</v>
      </c>
    </row>
    <row r="19" spans="2:54" ht="15.75" thickBot="1" x14ac:dyDescent="0.3">
      <c r="B19" s="3" t="s">
        <v>77</v>
      </c>
      <c r="C19" s="5" t="s">
        <v>67</v>
      </c>
      <c r="D19" s="5" t="s">
        <v>67</v>
      </c>
      <c r="E19" s="7"/>
      <c r="F19" s="5" t="s">
        <v>67</v>
      </c>
      <c r="G19" s="5">
        <v>0.69</v>
      </c>
      <c r="H19" s="7"/>
      <c r="O19" s="18"/>
      <c r="P19" s="19"/>
      <c r="S19" s="26" t="s">
        <v>28</v>
      </c>
      <c r="T19" s="27">
        <v>0.94117647058823528</v>
      </c>
      <c r="U19" s="27">
        <v>1.1053876364267581</v>
      </c>
      <c r="V19" s="11"/>
      <c r="W19" s="23" t="s">
        <v>19</v>
      </c>
      <c r="X19" s="27">
        <v>1.1842105263157894</v>
      </c>
      <c r="Y19" s="27">
        <v>1.0279605263157894</v>
      </c>
      <c r="AA19" s="29" t="s">
        <v>28</v>
      </c>
      <c r="AB19" s="27">
        <v>1</v>
      </c>
      <c r="AC19" s="27">
        <v>0.35117204776647504</v>
      </c>
      <c r="AE19" s="29" t="s">
        <v>28</v>
      </c>
      <c r="AF19" s="30">
        <v>0</v>
      </c>
      <c r="AG19" s="30">
        <v>1</v>
      </c>
      <c r="AH19" s="30">
        <f t="shared" si="2"/>
        <v>0.5</v>
      </c>
      <c r="AT19" s="65" t="s">
        <v>78</v>
      </c>
      <c r="AU19" s="66">
        <v>0.9</v>
      </c>
      <c r="AV19" s="66">
        <v>0.6</v>
      </c>
      <c r="AW19" s="67">
        <f t="shared" si="6"/>
        <v>0.66666666666666663</v>
      </c>
      <c r="AX19" s="66">
        <v>0.9</v>
      </c>
      <c r="AY19" s="66">
        <v>0.3</v>
      </c>
      <c r="AZ19" s="66">
        <v>0.9</v>
      </c>
      <c r="BA19" s="66">
        <v>0.44999999999999996</v>
      </c>
      <c r="BB19" s="68">
        <f t="shared" si="7"/>
        <v>0.49999999999999994</v>
      </c>
    </row>
    <row r="20" spans="2:54" x14ac:dyDescent="0.25">
      <c r="B20" s="3" t="s">
        <v>79</v>
      </c>
      <c r="C20" s="5" t="s">
        <v>67</v>
      </c>
      <c r="D20" s="4">
        <v>30576</v>
      </c>
      <c r="E20" s="7"/>
      <c r="F20" s="5">
        <v>1.84</v>
      </c>
      <c r="G20" s="5">
        <v>0.59</v>
      </c>
      <c r="H20" s="7">
        <f t="shared" si="1"/>
        <v>0.32065217391304346</v>
      </c>
      <c r="O20" s="18"/>
      <c r="P20" s="19"/>
      <c r="S20">
        <v>1</v>
      </c>
      <c r="T20">
        <v>2</v>
      </c>
    </row>
    <row r="21" spans="2:54" x14ac:dyDescent="0.25">
      <c r="B21" s="3" t="s">
        <v>80</v>
      </c>
      <c r="C21" s="5" t="s">
        <v>67</v>
      </c>
      <c r="D21" s="5" t="s">
        <v>67</v>
      </c>
      <c r="E21" s="7"/>
      <c r="F21" s="5">
        <v>1.82</v>
      </c>
      <c r="G21" s="5" t="s">
        <v>67</v>
      </c>
      <c r="H21" s="7"/>
      <c r="J21" s="20" t="s">
        <v>1</v>
      </c>
      <c r="K21" s="25" t="s">
        <v>2</v>
      </c>
      <c r="L21" s="25" t="s">
        <v>3</v>
      </c>
      <c r="M21" s="25" t="s">
        <v>10</v>
      </c>
      <c r="N21" s="25" t="s">
        <v>11</v>
      </c>
      <c r="O21" s="18"/>
      <c r="P21" s="19"/>
      <c r="S21" s="32" t="s">
        <v>34</v>
      </c>
      <c r="T21" s="33" t="s">
        <v>32</v>
      </c>
    </row>
    <row r="22" spans="2:54" x14ac:dyDescent="0.25">
      <c r="B22" s="3" t="s">
        <v>76</v>
      </c>
      <c r="C22" s="4">
        <v>1858</v>
      </c>
      <c r="D22" s="4">
        <v>60247</v>
      </c>
      <c r="E22" s="7">
        <f t="shared" si="0"/>
        <v>32.42572658772874</v>
      </c>
      <c r="F22" s="5">
        <v>1.06</v>
      </c>
      <c r="G22" s="5">
        <v>1.03</v>
      </c>
      <c r="H22" s="7">
        <f t="shared" si="1"/>
        <v>0.97169811320754718</v>
      </c>
      <c r="J22" s="14" t="s">
        <v>13</v>
      </c>
      <c r="K22" s="24">
        <v>1.0076923076923077</v>
      </c>
      <c r="L22" s="24">
        <v>1.0413043478260868</v>
      </c>
      <c r="M22" s="24">
        <f>VLOOKUP(J22,$B$3:$H$34,$E$2,FALSE)</f>
        <v>1.0297799149414102</v>
      </c>
      <c r="N22" s="24">
        <f>VLOOKUP(J22,$B$3:$H$34,$H$2,FALSE)</f>
        <v>1.0303030303030303</v>
      </c>
      <c r="O22" s="18"/>
      <c r="P22" s="19"/>
      <c r="S22" s="34" t="s">
        <v>13</v>
      </c>
      <c r="T22" s="17">
        <v>0.98980082279753345</v>
      </c>
    </row>
    <row r="23" spans="2:54" x14ac:dyDescent="0.25">
      <c r="B23" s="3" t="s">
        <v>17</v>
      </c>
      <c r="C23" s="4">
        <v>828368</v>
      </c>
      <c r="D23" s="4">
        <v>811997</v>
      </c>
      <c r="E23" s="7">
        <f t="shared" si="0"/>
        <v>0.98023704440538506</v>
      </c>
      <c r="F23" s="5">
        <v>0.79</v>
      </c>
      <c r="G23" s="5">
        <v>0.8</v>
      </c>
      <c r="H23" s="7">
        <f t="shared" si="1"/>
        <v>1.0126582278481013</v>
      </c>
      <c r="J23" s="14" t="s">
        <v>14</v>
      </c>
      <c r="K23" s="24">
        <v>1.0195121951219512</v>
      </c>
      <c r="L23" s="24">
        <v>0.98021978021978018</v>
      </c>
      <c r="M23" s="24">
        <f t="shared" ref="M23:M34" si="8">VLOOKUP(J23,$B$3:$H$34,$E$2,FALSE)</f>
        <v>0.95155750839114062</v>
      </c>
      <c r="N23" s="24">
        <f t="shared" ref="N23:N34" si="9">VLOOKUP(J23,$B$3:$H$34,$H$2,FALSE)</f>
        <v>1.0116279069767442</v>
      </c>
      <c r="O23" s="18"/>
      <c r="P23" s="19"/>
      <c r="S23" s="34" t="s">
        <v>15</v>
      </c>
      <c r="T23" s="17">
        <v>1</v>
      </c>
    </row>
    <row r="24" spans="2:54" x14ac:dyDescent="0.25">
      <c r="B24" s="2" t="s">
        <v>23</v>
      </c>
      <c r="C24" s="4">
        <v>668932</v>
      </c>
      <c r="D24" s="4">
        <v>759770</v>
      </c>
      <c r="E24" s="7">
        <f t="shared" si="0"/>
        <v>1.1357955666644741</v>
      </c>
      <c r="F24" s="5">
        <v>1.39</v>
      </c>
      <c r="G24" s="5">
        <v>1.38</v>
      </c>
      <c r="H24" s="7">
        <f t="shared" si="1"/>
        <v>0.9928057553956835</v>
      </c>
      <c r="J24" s="14" t="s">
        <v>15</v>
      </c>
      <c r="K24" s="24">
        <v>1.0326086956521738</v>
      </c>
      <c r="L24" s="24">
        <v>1.0163043478260869</v>
      </c>
      <c r="M24" s="24">
        <f t="shared" si="8"/>
        <v>1.0488158807389816</v>
      </c>
      <c r="N24" s="24">
        <f t="shared" si="9"/>
        <v>1</v>
      </c>
      <c r="S24" s="34" t="s">
        <v>16</v>
      </c>
      <c r="T24" s="17">
        <v>0.96686117474328959</v>
      </c>
    </row>
    <row r="25" spans="2:54" x14ac:dyDescent="0.25">
      <c r="B25" s="2" t="s">
        <v>19</v>
      </c>
      <c r="C25" s="4">
        <v>478187</v>
      </c>
      <c r="D25" s="4">
        <v>480955</v>
      </c>
      <c r="E25" s="7">
        <f t="shared" si="0"/>
        <v>1.0057885304284726</v>
      </c>
      <c r="F25" s="5">
        <v>0.98</v>
      </c>
      <c r="G25" s="5">
        <v>0.9</v>
      </c>
      <c r="H25" s="7">
        <f t="shared" si="1"/>
        <v>0.91836734693877553</v>
      </c>
      <c r="J25" s="14" t="s">
        <v>16</v>
      </c>
      <c r="K25" s="24">
        <v>1.0058823529411764</v>
      </c>
      <c r="L25" s="24">
        <v>1.05</v>
      </c>
      <c r="M25" s="24">
        <f t="shared" si="8"/>
        <v>1.0401367386998499</v>
      </c>
      <c r="N25" s="24">
        <f t="shared" si="9"/>
        <v>1.0194174757281553</v>
      </c>
      <c r="S25" s="34" t="s">
        <v>18</v>
      </c>
      <c r="T25" s="17">
        <v>0.93110470401828627</v>
      </c>
    </row>
    <row r="26" spans="2:54" x14ac:dyDescent="0.25">
      <c r="B26" s="2" t="s">
        <v>20</v>
      </c>
      <c r="C26" s="4">
        <v>603678</v>
      </c>
      <c r="D26" s="4">
        <v>620704</v>
      </c>
      <c r="E26" s="7">
        <f t="shared" si="0"/>
        <v>1.0282037775105271</v>
      </c>
      <c r="F26" s="5">
        <v>1.1299999999999999</v>
      </c>
      <c r="G26" s="5">
        <v>1.1599999999999999</v>
      </c>
      <c r="H26" s="7">
        <f t="shared" si="1"/>
        <v>1.0265486725663717</v>
      </c>
      <c r="J26" s="14" t="s">
        <v>17</v>
      </c>
      <c r="K26" s="24">
        <v>1.0011627906976743</v>
      </c>
      <c r="L26" s="24">
        <v>1.0733333333333333</v>
      </c>
      <c r="M26" s="24">
        <f t="shared" si="8"/>
        <v>0.98023704440538506</v>
      </c>
      <c r="N26" s="24">
        <f t="shared" si="9"/>
        <v>1.0126582278481013</v>
      </c>
      <c r="S26" s="34" t="s">
        <v>26</v>
      </c>
      <c r="T26" s="17">
        <v>0.9</v>
      </c>
    </row>
    <row r="27" spans="2:54" x14ac:dyDescent="0.25">
      <c r="B27" s="2" t="s">
        <v>21</v>
      </c>
      <c r="C27" s="4">
        <v>203700</v>
      </c>
      <c r="D27" s="4">
        <v>216452</v>
      </c>
      <c r="E27" s="7">
        <f t="shared" si="0"/>
        <v>1.0626018654884635</v>
      </c>
      <c r="F27" s="5">
        <v>0.9</v>
      </c>
      <c r="G27" s="5">
        <v>0.99</v>
      </c>
      <c r="H27" s="7">
        <f t="shared" si="1"/>
        <v>1.0999999999999999</v>
      </c>
      <c r="J27" s="14" t="s">
        <v>18</v>
      </c>
      <c r="K27" s="24">
        <v>1.0531914893617023</v>
      </c>
      <c r="L27" s="24">
        <v>1.0284210526315789</v>
      </c>
      <c r="M27" s="24">
        <f t="shared" si="8"/>
        <v>0.97245646222674942</v>
      </c>
      <c r="N27" s="24">
        <f t="shared" si="9"/>
        <v>0.9882352941176471</v>
      </c>
      <c r="S27" s="34" t="s">
        <v>25</v>
      </c>
      <c r="T27" s="17">
        <v>0.99989690721649493</v>
      </c>
    </row>
    <row r="28" spans="2:54" x14ac:dyDescent="0.25">
      <c r="B28" s="3" t="s">
        <v>81</v>
      </c>
      <c r="C28" s="4">
        <v>72878</v>
      </c>
      <c r="D28" s="4">
        <v>67853</v>
      </c>
      <c r="E28" s="7">
        <f t="shared" si="0"/>
        <v>0.93104915063530835</v>
      </c>
      <c r="F28" s="5" t="s">
        <v>67</v>
      </c>
      <c r="G28" s="5" t="s">
        <v>67</v>
      </c>
      <c r="H28" s="7"/>
      <c r="J28" s="14" t="s">
        <v>19</v>
      </c>
      <c r="K28" s="24">
        <v>1.0914285714285714</v>
      </c>
      <c r="L28" s="24">
        <v>1.146987951807229</v>
      </c>
      <c r="M28" s="24">
        <f t="shared" si="8"/>
        <v>1.0057885304284726</v>
      </c>
      <c r="N28" s="24">
        <f t="shared" si="9"/>
        <v>0.91836734693877553</v>
      </c>
      <c r="S28" s="34" t="s">
        <v>23</v>
      </c>
      <c r="T28" s="17">
        <v>0.86477083333333338</v>
      </c>
    </row>
    <row r="29" spans="2:54" x14ac:dyDescent="0.25">
      <c r="B29" s="3" t="s">
        <v>82</v>
      </c>
      <c r="C29" s="4">
        <v>28542</v>
      </c>
      <c r="D29" s="4">
        <v>32786</v>
      </c>
      <c r="E29" s="7">
        <f t="shared" si="0"/>
        <v>1.148693153948567</v>
      </c>
      <c r="F29" s="5" t="s">
        <v>67</v>
      </c>
      <c r="G29" s="5" t="s">
        <v>67</v>
      </c>
      <c r="H29" s="7"/>
      <c r="J29" s="14" t="s">
        <v>20</v>
      </c>
      <c r="K29" s="24">
        <v>0.86571428571428577</v>
      </c>
      <c r="L29" s="24">
        <v>1.2048192771084338</v>
      </c>
      <c r="M29" s="24">
        <f t="shared" si="8"/>
        <v>1.0282037775105271</v>
      </c>
      <c r="N29" s="24">
        <f t="shared" si="9"/>
        <v>1.0265486725663717</v>
      </c>
      <c r="S29" s="34" t="s">
        <v>17</v>
      </c>
      <c r="T29" s="17">
        <v>0.91</v>
      </c>
    </row>
    <row r="30" spans="2:54" x14ac:dyDescent="0.25">
      <c r="B30" s="3" t="s">
        <v>83</v>
      </c>
      <c r="C30" s="4">
        <v>84691</v>
      </c>
      <c r="D30" s="4">
        <v>80745</v>
      </c>
      <c r="E30" s="7">
        <f t="shared" si="0"/>
        <v>0.95340709166263238</v>
      </c>
      <c r="F30" s="5" t="s">
        <v>67</v>
      </c>
      <c r="G30" s="5" t="s">
        <v>67</v>
      </c>
      <c r="H30" s="7"/>
      <c r="J30" s="14" t="s">
        <v>21</v>
      </c>
      <c r="K30" s="24">
        <v>0.84857142857142853</v>
      </c>
      <c r="L30" s="24">
        <v>1.0951807228915664</v>
      </c>
      <c r="M30" s="24">
        <f t="shared" si="8"/>
        <v>1.0626018654884635</v>
      </c>
      <c r="N30" s="24">
        <f t="shared" si="9"/>
        <v>1.0999999999999999</v>
      </c>
      <c r="S30" s="34" t="s">
        <v>14</v>
      </c>
      <c r="T30" s="17">
        <v>0.98132093195065095</v>
      </c>
    </row>
    <row r="31" spans="2:54" x14ac:dyDescent="0.25">
      <c r="B31" s="3" t="s">
        <v>22</v>
      </c>
      <c r="C31" s="4">
        <v>864939</v>
      </c>
      <c r="D31" s="4">
        <v>837346</v>
      </c>
      <c r="E31" s="7">
        <f t="shared" si="0"/>
        <v>0.96809832832141918</v>
      </c>
      <c r="F31" s="5">
        <v>1.51</v>
      </c>
      <c r="G31" s="5">
        <v>1.41</v>
      </c>
      <c r="H31" s="7">
        <f t="shared" si="1"/>
        <v>0.93377483443708609</v>
      </c>
      <c r="J31" s="14" t="s">
        <v>22</v>
      </c>
      <c r="K31" s="24">
        <v>1.1742857142857144</v>
      </c>
      <c r="L31" s="24">
        <v>1.0681818181818181</v>
      </c>
      <c r="M31" s="24">
        <f t="shared" si="8"/>
        <v>0.96809832832141918</v>
      </c>
      <c r="N31" s="24">
        <f t="shared" si="9"/>
        <v>0.93377483443708609</v>
      </c>
      <c r="S31" s="34" t="s">
        <v>22</v>
      </c>
      <c r="T31" s="17">
        <v>0.94524218314862185</v>
      </c>
    </row>
    <row r="32" spans="2:54" x14ac:dyDescent="0.25">
      <c r="B32" s="3" t="s">
        <v>84</v>
      </c>
      <c r="C32" s="4">
        <v>111350</v>
      </c>
      <c r="D32" s="4">
        <v>107487</v>
      </c>
      <c r="E32" s="7">
        <f t="shared" si="0"/>
        <v>0.96530758868432864</v>
      </c>
      <c r="F32" s="5">
        <v>0.51</v>
      </c>
      <c r="G32" s="5" t="s">
        <v>67</v>
      </c>
      <c r="H32" s="7"/>
      <c r="J32" s="14" t="s">
        <v>23</v>
      </c>
      <c r="K32" s="24">
        <v>1.024</v>
      </c>
      <c r="L32" s="24">
        <v>0.96385542168674709</v>
      </c>
      <c r="M32" s="24">
        <f t="shared" si="8"/>
        <v>1.1357955666644741</v>
      </c>
      <c r="N32" s="24">
        <f t="shared" si="9"/>
        <v>0.9928057553956835</v>
      </c>
      <c r="S32" s="34" t="s">
        <v>19</v>
      </c>
      <c r="T32" s="17">
        <v>0.97207402616838423</v>
      </c>
    </row>
    <row r="33" spans="2:20" x14ac:dyDescent="0.25">
      <c r="B33" s="3" t="s">
        <v>14</v>
      </c>
      <c r="C33" s="4">
        <v>692099</v>
      </c>
      <c r="D33" s="4">
        <v>658572</v>
      </c>
      <c r="E33" s="7">
        <f t="shared" si="0"/>
        <v>0.95155750839114062</v>
      </c>
      <c r="F33" s="5">
        <v>0.86</v>
      </c>
      <c r="G33" s="5">
        <v>0.87</v>
      </c>
      <c r="H33" s="7">
        <f t="shared" si="1"/>
        <v>1.0116279069767442</v>
      </c>
      <c r="J33" s="14" t="s">
        <v>25</v>
      </c>
      <c r="K33" s="24">
        <v>1.0857142857142859</v>
      </c>
      <c r="L33" s="24">
        <v>1.0488888888888888</v>
      </c>
      <c r="M33" s="24">
        <f t="shared" si="8"/>
        <v>0.90039764800375133</v>
      </c>
      <c r="N33" s="24">
        <f t="shared" si="9"/>
        <v>1.1496062992125984</v>
      </c>
      <c r="S33" s="34" t="s">
        <v>20</v>
      </c>
      <c r="T33" s="17">
        <v>0.97973452294246177</v>
      </c>
    </row>
    <row r="34" spans="2:20" x14ac:dyDescent="0.25">
      <c r="B34" s="3" t="s">
        <v>15</v>
      </c>
      <c r="C34" s="4">
        <v>1659419</v>
      </c>
      <c r="D34" s="4">
        <v>1740425</v>
      </c>
      <c r="E34" s="7">
        <f t="shared" si="0"/>
        <v>1.0488158807389816</v>
      </c>
      <c r="F34" s="5">
        <v>1.32</v>
      </c>
      <c r="G34" s="5">
        <v>1.32</v>
      </c>
      <c r="H34" s="7">
        <f t="shared" si="1"/>
        <v>1</v>
      </c>
      <c r="J34" s="14" t="s">
        <v>26</v>
      </c>
      <c r="K34" s="24">
        <v>1.0294117647058825</v>
      </c>
      <c r="L34" s="24">
        <v>1.0816091954022988</v>
      </c>
      <c r="M34" s="24">
        <f t="shared" si="8"/>
        <v>0.91089447511944699</v>
      </c>
      <c r="N34" s="24">
        <f t="shared" si="9"/>
        <v>0.90588235294117647</v>
      </c>
      <c r="S34" s="34" t="s">
        <v>21</v>
      </c>
      <c r="T34" s="17">
        <v>0.93991571983947841</v>
      </c>
    </row>
    <row r="35" spans="2:20" x14ac:dyDescent="0.25">
      <c r="J35" s="14" t="s">
        <v>27</v>
      </c>
      <c r="K35" s="24">
        <v>0.73571428571428577</v>
      </c>
      <c r="L35" s="24">
        <v>1.0579545454545456</v>
      </c>
      <c r="M35" s="24">
        <v>1</v>
      </c>
      <c r="N35" s="24">
        <v>0.92322791712104679</v>
      </c>
      <c r="S35" s="34" t="s">
        <v>28</v>
      </c>
      <c r="T35" s="17">
        <v>0.48232272019195277</v>
      </c>
    </row>
    <row r="36" spans="2:20" x14ac:dyDescent="0.25">
      <c r="B36" s="8" t="s">
        <v>33</v>
      </c>
      <c r="C36" s="4">
        <f>SUM(C44:C53)</f>
        <v>1858</v>
      </c>
      <c r="D36" s="4">
        <f>SUM(D44:D53)</f>
        <v>60247</v>
      </c>
      <c r="E36" s="7">
        <f>D36/C36</f>
        <v>32.42572658772874</v>
      </c>
      <c r="J36" s="29" t="s">
        <v>85</v>
      </c>
      <c r="K36" s="23" t="s">
        <v>24</v>
      </c>
      <c r="L36" s="23" t="s">
        <v>24</v>
      </c>
      <c r="M36" s="24">
        <v>1</v>
      </c>
      <c r="N36" s="24">
        <v>0.35117204776647504</v>
      </c>
      <c r="S36" s="34" t="s">
        <v>86</v>
      </c>
      <c r="T36" s="17">
        <v>0.63392386477602281</v>
      </c>
    </row>
    <row r="37" spans="2:20" x14ac:dyDescent="0.25">
      <c r="B37" s="8" t="s">
        <v>85</v>
      </c>
      <c r="C37" s="4">
        <f>SUM(C40:C43)</f>
        <v>10000</v>
      </c>
      <c r="D37" s="4">
        <f>SUM(D40:D43)</f>
        <v>31881</v>
      </c>
      <c r="E37" s="7">
        <f>D37/C37</f>
        <v>3.1880999999999999</v>
      </c>
    </row>
    <row r="39" spans="2:20" ht="24" x14ac:dyDescent="0.25">
      <c r="C39" s="12" t="s">
        <v>87</v>
      </c>
      <c r="D39" s="12" t="s">
        <v>88</v>
      </c>
      <c r="E39" s="12" t="s">
        <v>89</v>
      </c>
      <c r="F39" s="12" t="s">
        <v>90</v>
      </c>
      <c r="G39" s="12" t="s">
        <v>91</v>
      </c>
      <c r="H39" s="12" t="s">
        <v>92</v>
      </c>
      <c r="I39" s="12" t="s">
        <v>93</v>
      </c>
      <c r="J39" s="12" t="s">
        <v>94</v>
      </c>
    </row>
    <row r="40" spans="2:20" x14ac:dyDescent="0.25">
      <c r="B40" s="9" t="s">
        <v>68</v>
      </c>
      <c r="C40" s="4" t="str">
        <f>VLOOKUP(B40,$B$3:$H$34,$C$2,FALSE)</f>
        <v xml:space="preserve"> -   </v>
      </c>
      <c r="D40" s="4">
        <f>VLOOKUP(B40,$B$3:$H$34,$D$2,FALSE)</f>
        <v>351</v>
      </c>
      <c r="E40" s="10">
        <f>VLOOKUP(B40,$B$3:$H$34,$F$2,FALSE)</f>
        <v>1.84</v>
      </c>
      <c r="F40" s="10">
        <f>VLOOKUP(B40,$B$3:$H$34,$G$2,FALSE)</f>
        <v>0.5</v>
      </c>
      <c r="G40" s="4">
        <f>VLOOKUP($B$40,$B$56:$F$87,C55,FALSE)</f>
        <v>669</v>
      </c>
      <c r="H40" s="4">
        <f>VLOOKUP(B40,$B$56:$F$87,$D$55,FALSE)</f>
        <v>180</v>
      </c>
      <c r="I40" s="4">
        <f>VLOOKUP(B40,$B$56:$F$87,$E$55,FALSE)</f>
        <v>363</v>
      </c>
      <c r="J40" s="4">
        <f>VLOOKUP(B40,$B$56:$F$87,$F$55,FALSE)</f>
        <v>363</v>
      </c>
    </row>
    <row r="41" spans="2:20" x14ac:dyDescent="0.25">
      <c r="B41" s="9" t="s">
        <v>74</v>
      </c>
      <c r="C41" s="4">
        <f t="shared" ref="C41:C52" si="10">VLOOKUP(B41,$B$3:$H$34,$C$2,FALSE)</f>
        <v>10000</v>
      </c>
      <c r="D41" s="4">
        <f t="shared" ref="D41:D52" si="11">VLOOKUP(B41,$B$3:$H$34,$D$2,FALSE)</f>
        <v>954</v>
      </c>
      <c r="E41" s="10">
        <f t="shared" ref="E41:E52" si="12">VLOOKUP(B41,$B$3:$H$34,$F$2,FALSE)</f>
        <v>1.84</v>
      </c>
      <c r="F41" s="10">
        <f t="shared" ref="F41:F52" si="13">VLOOKUP(B41,$B$3:$H$34,$G$2,FALSE)</f>
        <v>0.79</v>
      </c>
      <c r="G41" s="4">
        <f t="shared" ref="G41:G52" si="14">VLOOKUP(B41,$B$56:$F$87,$C$55,FALSE)</f>
        <v>1233</v>
      </c>
      <c r="H41" s="4">
        <f t="shared" ref="H41:H52" si="15">VLOOKUP(B41,$B$56:$F$87,$D$55,FALSE)</f>
        <v>531</v>
      </c>
      <c r="I41" s="4">
        <f t="shared" ref="I41:I52" si="16">VLOOKUP(B41,$B$56:$F$87,$E$55,FALSE)</f>
        <v>670</v>
      </c>
      <c r="J41" s="4">
        <f t="shared" ref="J41:J52" si="17">VLOOKUP(B41,$B$56:$F$87,$F$55,FALSE)</f>
        <v>670</v>
      </c>
    </row>
    <row r="42" spans="2:20" x14ac:dyDescent="0.25">
      <c r="B42" s="9" t="s">
        <v>79</v>
      </c>
      <c r="C42" s="4" t="str">
        <f t="shared" si="10"/>
        <v xml:space="preserve"> -   </v>
      </c>
      <c r="D42" s="4">
        <f t="shared" si="11"/>
        <v>30576</v>
      </c>
      <c r="E42" s="10">
        <f t="shared" si="12"/>
        <v>1.84</v>
      </c>
      <c r="F42" s="10">
        <f t="shared" si="13"/>
        <v>0.59</v>
      </c>
      <c r="G42" s="4">
        <f t="shared" si="14"/>
        <v>259</v>
      </c>
      <c r="H42" s="4">
        <f t="shared" si="15"/>
        <v>83</v>
      </c>
      <c r="I42" s="4">
        <f t="shared" si="16"/>
        <v>141</v>
      </c>
      <c r="J42" s="4">
        <f t="shared" si="17"/>
        <v>141</v>
      </c>
    </row>
    <row r="43" spans="2:20" x14ac:dyDescent="0.25">
      <c r="B43" s="9" t="s">
        <v>80</v>
      </c>
      <c r="C43" s="4" t="str">
        <f t="shared" si="10"/>
        <v xml:space="preserve"> -   </v>
      </c>
      <c r="D43" s="4" t="str">
        <f t="shared" si="11"/>
        <v xml:space="preserve"> -   </v>
      </c>
      <c r="E43" s="10">
        <f t="shared" si="12"/>
        <v>1.82</v>
      </c>
      <c r="F43" s="10" t="str">
        <f t="shared" si="13"/>
        <v xml:space="preserve"> -   </v>
      </c>
      <c r="G43" s="4">
        <f t="shared" si="14"/>
        <v>100</v>
      </c>
      <c r="H43" s="4" t="str">
        <f t="shared" si="15"/>
        <v xml:space="preserve"> -   </v>
      </c>
      <c r="I43" s="4">
        <f t="shared" si="16"/>
        <v>55</v>
      </c>
      <c r="J43" s="4">
        <f t="shared" si="17"/>
        <v>55</v>
      </c>
    </row>
    <row r="44" spans="2:20" x14ac:dyDescent="0.25">
      <c r="B44" s="9" t="s">
        <v>76</v>
      </c>
      <c r="C44" s="4">
        <f t="shared" si="10"/>
        <v>1858</v>
      </c>
      <c r="D44" s="4">
        <f t="shared" si="11"/>
        <v>60247</v>
      </c>
      <c r="E44" s="10">
        <f t="shared" si="12"/>
        <v>1.06</v>
      </c>
      <c r="F44" s="10">
        <f t="shared" si="13"/>
        <v>1.03</v>
      </c>
      <c r="G44" s="4">
        <f t="shared" si="14"/>
        <v>3341</v>
      </c>
      <c r="H44" s="4">
        <f t="shared" si="15"/>
        <v>3247</v>
      </c>
      <c r="I44" s="4">
        <f t="shared" si="16"/>
        <v>3144</v>
      </c>
      <c r="J44" s="4">
        <f t="shared" si="17"/>
        <v>3144</v>
      </c>
    </row>
    <row r="45" spans="2:20" x14ac:dyDescent="0.25">
      <c r="B45" s="9" t="s">
        <v>73</v>
      </c>
      <c r="C45" s="4" t="str">
        <f t="shared" si="10"/>
        <v xml:space="preserve"> -   </v>
      </c>
      <c r="D45" s="4" t="str">
        <f t="shared" si="11"/>
        <v xml:space="preserve"> -   </v>
      </c>
      <c r="E45" s="10">
        <f t="shared" si="12"/>
        <v>1.07</v>
      </c>
      <c r="F45" s="10">
        <f t="shared" si="13"/>
        <v>0.38</v>
      </c>
      <c r="G45" s="4">
        <f t="shared" si="14"/>
        <v>235</v>
      </c>
      <c r="H45" s="4">
        <f t="shared" si="15"/>
        <v>83</v>
      </c>
      <c r="I45" s="4">
        <f t="shared" si="16"/>
        <v>220</v>
      </c>
      <c r="J45" s="4">
        <f t="shared" si="17"/>
        <v>220</v>
      </c>
    </row>
    <row r="46" spans="2:20" x14ac:dyDescent="0.25">
      <c r="B46" s="9" t="s">
        <v>75</v>
      </c>
      <c r="C46" s="4" t="str">
        <f t="shared" si="10"/>
        <v xml:space="preserve"> -   </v>
      </c>
      <c r="D46" s="4" t="str">
        <f t="shared" si="11"/>
        <v xml:space="preserve"> -   </v>
      </c>
      <c r="E46" s="10">
        <f t="shared" si="12"/>
        <v>1.06</v>
      </c>
      <c r="F46" s="10" t="str">
        <f t="shared" si="13"/>
        <v xml:space="preserve"> -   </v>
      </c>
      <c r="G46" s="4">
        <f t="shared" si="14"/>
        <v>187</v>
      </c>
      <c r="H46" s="4" t="str">
        <f t="shared" si="15"/>
        <v xml:space="preserve"> -   </v>
      </c>
      <c r="I46" s="4">
        <f t="shared" si="16"/>
        <v>177</v>
      </c>
      <c r="J46" s="4">
        <f t="shared" si="17"/>
        <v>177</v>
      </c>
    </row>
    <row r="47" spans="2:20" x14ac:dyDescent="0.25">
      <c r="B47" s="9" t="s">
        <v>66</v>
      </c>
      <c r="C47" s="4" t="str">
        <f t="shared" si="10"/>
        <v xml:space="preserve"> -   </v>
      </c>
      <c r="D47" s="4" t="str">
        <f t="shared" si="11"/>
        <v xml:space="preserve"> -   </v>
      </c>
      <c r="E47" s="10">
        <f t="shared" si="12"/>
        <v>1.06</v>
      </c>
      <c r="F47" s="10">
        <f t="shared" si="13"/>
        <v>1.52</v>
      </c>
      <c r="G47" s="4">
        <f t="shared" si="14"/>
        <v>272</v>
      </c>
      <c r="H47" s="4">
        <f t="shared" si="15"/>
        <v>391</v>
      </c>
      <c r="I47" s="4">
        <f t="shared" si="16"/>
        <v>257</v>
      </c>
      <c r="J47" s="4">
        <f t="shared" si="17"/>
        <v>257</v>
      </c>
    </row>
    <row r="48" spans="2:20" x14ac:dyDescent="0.25">
      <c r="B48" s="9" t="s">
        <v>70</v>
      </c>
      <c r="C48" s="4" t="str">
        <f t="shared" si="10"/>
        <v xml:space="preserve"> -   </v>
      </c>
      <c r="D48" s="4" t="str">
        <f t="shared" si="11"/>
        <v xml:space="preserve"> -   </v>
      </c>
      <c r="E48" s="10">
        <f t="shared" si="12"/>
        <v>1.06</v>
      </c>
      <c r="F48" s="10">
        <f t="shared" si="13"/>
        <v>0.53</v>
      </c>
      <c r="G48" s="4">
        <f t="shared" si="14"/>
        <v>269</v>
      </c>
      <c r="H48" s="4">
        <f t="shared" si="15"/>
        <v>134</v>
      </c>
      <c r="I48" s="4">
        <f t="shared" si="16"/>
        <v>254</v>
      </c>
      <c r="J48" s="4">
        <f t="shared" si="17"/>
        <v>254</v>
      </c>
    </row>
    <row r="49" spans="2:12" x14ac:dyDescent="0.25">
      <c r="B49" s="9" t="s">
        <v>71</v>
      </c>
      <c r="C49" s="4" t="str">
        <f t="shared" si="10"/>
        <v xml:space="preserve"> -   </v>
      </c>
      <c r="D49" s="4" t="str">
        <f t="shared" si="11"/>
        <v xml:space="preserve"> -   </v>
      </c>
      <c r="E49" s="10">
        <f t="shared" si="12"/>
        <v>1.07</v>
      </c>
      <c r="F49" s="10" t="str">
        <f t="shared" si="13"/>
        <v xml:space="preserve"> -   </v>
      </c>
      <c r="G49" s="4">
        <f t="shared" si="14"/>
        <v>117</v>
      </c>
      <c r="H49" s="4" t="str">
        <f t="shared" si="15"/>
        <v xml:space="preserve"> -   </v>
      </c>
      <c r="I49" s="4">
        <f t="shared" si="16"/>
        <v>110</v>
      </c>
      <c r="J49" s="4">
        <f t="shared" si="17"/>
        <v>110</v>
      </c>
    </row>
    <row r="50" spans="2:12" x14ac:dyDescent="0.25">
      <c r="B50" s="9" t="s">
        <v>72</v>
      </c>
      <c r="C50" s="4" t="str">
        <f t="shared" si="10"/>
        <v xml:space="preserve"> -   </v>
      </c>
      <c r="D50" s="4" t="str">
        <f t="shared" si="11"/>
        <v xml:space="preserve"> -   </v>
      </c>
      <c r="E50" s="10">
        <f t="shared" si="12"/>
        <v>1.06</v>
      </c>
      <c r="F50" s="10">
        <f t="shared" si="13"/>
        <v>2.76</v>
      </c>
      <c r="G50" s="4">
        <f t="shared" si="14"/>
        <v>121</v>
      </c>
      <c r="H50" s="4">
        <f t="shared" si="15"/>
        <v>315</v>
      </c>
      <c r="I50" s="4">
        <f t="shared" si="16"/>
        <v>114</v>
      </c>
      <c r="J50" s="4">
        <f t="shared" si="17"/>
        <v>114</v>
      </c>
    </row>
    <row r="51" spans="2:12" x14ac:dyDescent="0.25">
      <c r="B51" s="9" t="s">
        <v>77</v>
      </c>
      <c r="C51" s="4" t="str">
        <f t="shared" si="10"/>
        <v xml:space="preserve"> -   </v>
      </c>
      <c r="D51" s="4" t="str">
        <f t="shared" si="11"/>
        <v xml:space="preserve"> -   </v>
      </c>
      <c r="E51" s="10" t="str">
        <f t="shared" si="12"/>
        <v xml:space="preserve"> -   </v>
      </c>
      <c r="F51" s="10">
        <f t="shared" si="13"/>
        <v>0.69</v>
      </c>
      <c r="G51" s="4" t="str">
        <f t="shared" si="14"/>
        <v xml:space="preserve"> -   </v>
      </c>
      <c r="H51" s="4">
        <f t="shared" si="15"/>
        <v>63</v>
      </c>
      <c r="I51" s="4">
        <f t="shared" si="16"/>
        <v>92</v>
      </c>
      <c r="J51" s="4">
        <f t="shared" si="17"/>
        <v>92</v>
      </c>
    </row>
    <row r="52" spans="2:12" x14ac:dyDescent="0.25">
      <c r="B52" s="9" t="s">
        <v>69</v>
      </c>
      <c r="C52" s="4" t="str">
        <f t="shared" si="10"/>
        <v xml:space="preserve"> -   </v>
      </c>
      <c r="D52" s="4" t="str">
        <f t="shared" si="11"/>
        <v xml:space="preserve"> -   </v>
      </c>
      <c r="E52" s="10">
        <f t="shared" si="12"/>
        <v>1.21</v>
      </c>
      <c r="F52" s="10" t="str">
        <f t="shared" si="13"/>
        <v xml:space="preserve"> -   </v>
      </c>
      <c r="G52" s="4">
        <f t="shared" si="14"/>
        <v>43</v>
      </c>
      <c r="H52" s="4" t="str">
        <f t="shared" si="15"/>
        <v xml:space="preserve"> -   </v>
      </c>
      <c r="I52" s="4">
        <f t="shared" si="16"/>
        <v>36</v>
      </c>
      <c r="J52" s="4">
        <f t="shared" si="17"/>
        <v>36</v>
      </c>
    </row>
    <row r="53" spans="2:12" x14ac:dyDescent="0.25">
      <c r="B53" s="9" t="s">
        <v>95</v>
      </c>
      <c r="C53" s="4">
        <v>0</v>
      </c>
      <c r="D53" s="4">
        <v>0</v>
      </c>
      <c r="E53" s="10">
        <v>0</v>
      </c>
      <c r="F53" s="10">
        <v>0</v>
      </c>
      <c r="G53" s="4"/>
      <c r="H53" s="4"/>
      <c r="I53" s="4"/>
      <c r="J53" s="4"/>
    </row>
    <row r="55" spans="2:12" x14ac:dyDescent="0.25">
      <c r="B55">
        <v>1</v>
      </c>
      <c r="C55">
        <v>2</v>
      </c>
      <c r="D55">
        <v>3</v>
      </c>
      <c r="E55">
        <v>4</v>
      </c>
      <c r="F55">
        <v>5</v>
      </c>
    </row>
    <row r="56" spans="2:12" x14ac:dyDescent="0.25">
      <c r="B56" s="263" t="s">
        <v>34</v>
      </c>
      <c r="C56" s="265" t="s">
        <v>96</v>
      </c>
      <c r="D56" s="265" t="s">
        <v>97</v>
      </c>
      <c r="E56" s="265" t="s">
        <v>93</v>
      </c>
      <c r="F56" s="265" t="s">
        <v>94</v>
      </c>
    </row>
    <row r="57" spans="2:12" x14ac:dyDescent="0.25">
      <c r="B57" s="264"/>
      <c r="C57" s="266"/>
      <c r="D57" s="266"/>
      <c r="E57" s="266"/>
      <c r="F57" s="266"/>
      <c r="I57" s="12" t="s">
        <v>91</v>
      </c>
      <c r="J57" s="12" t="s">
        <v>92</v>
      </c>
      <c r="K57" s="12" t="s">
        <v>93</v>
      </c>
      <c r="L57" s="12" t="s">
        <v>94</v>
      </c>
    </row>
    <row r="58" spans="2:12" x14ac:dyDescent="0.25">
      <c r="B58" s="2" t="s">
        <v>13</v>
      </c>
      <c r="C58" s="4">
        <v>35665</v>
      </c>
      <c r="D58" s="4">
        <v>36807</v>
      </c>
      <c r="E58" s="4">
        <v>36202</v>
      </c>
      <c r="F58" s="4">
        <v>36202</v>
      </c>
      <c r="H58" s="8" t="s">
        <v>78</v>
      </c>
      <c r="I58" s="10">
        <f>SUM(G40:G43)</f>
        <v>2261</v>
      </c>
      <c r="J58" s="10">
        <f t="shared" ref="J58:L58" si="18">SUM(H40:H43)</f>
        <v>794</v>
      </c>
      <c r="K58" s="10">
        <f t="shared" si="18"/>
        <v>1229</v>
      </c>
      <c r="L58" s="10">
        <f t="shared" si="18"/>
        <v>1229</v>
      </c>
    </row>
    <row r="59" spans="2:12" x14ac:dyDescent="0.25">
      <c r="B59" s="3" t="s">
        <v>26</v>
      </c>
      <c r="C59" s="4">
        <v>4118</v>
      </c>
      <c r="D59" s="4">
        <v>3762</v>
      </c>
      <c r="E59" s="4">
        <v>4867</v>
      </c>
      <c r="F59" s="4">
        <v>4867</v>
      </c>
      <c r="H59" s="8" t="s">
        <v>27</v>
      </c>
      <c r="I59" s="10">
        <f>SUM(G44:G53)</f>
        <v>4585</v>
      </c>
      <c r="J59" s="10">
        <f t="shared" ref="J59:L59" si="19">SUM(H44:H53)</f>
        <v>4233</v>
      </c>
      <c r="K59" s="10">
        <f t="shared" si="19"/>
        <v>4404</v>
      </c>
      <c r="L59" s="10">
        <f t="shared" si="19"/>
        <v>4404</v>
      </c>
    </row>
    <row r="60" spans="2:12" x14ac:dyDescent="0.25">
      <c r="B60" s="3" t="s">
        <v>16</v>
      </c>
      <c r="C60" s="4">
        <v>7186</v>
      </c>
      <c r="D60" s="4">
        <v>7311</v>
      </c>
      <c r="E60" s="4">
        <v>6954</v>
      </c>
      <c r="F60" s="4">
        <v>6954</v>
      </c>
    </row>
    <row r="61" spans="2:12" ht="24" x14ac:dyDescent="0.25">
      <c r="B61" s="3" t="s">
        <v>25</v>
      </c>
      <c r="C61" s="6">
        <v>4593</v>
      </c>
      <c r="D61" s="6">
        <v>5270</v>
      </c>
      <c r="E61" s="6">
        <v>3615</v>
      </c>
      <c r="F61" s="6">
        <v>3615</v>
      </c>
      <c r="I61" s="12" t="s">
        <v>89</v>
      </c>
      <c r="J61" s="12" t="s">
        <v>90</v>
      </c>
      <c r="K61" s="12" t="s">
        <v>98</v>
      </c>
    </row>
    <row r="62" spans="2:12" x14ac:dyDescent="0.25">
      <c r="B62" s="3" t="s">
        <v>18</v>
      </c>
      <c r="C62" s="4">
        <v>4922</v>
      </c>
      <c r="D62" s="4">
        <v>4868</v>
      </c>
      <c r="E62" s="4">
        <v>5808</v>
      </c>
      <c r="F62" s="4">
        <v>5808</v>
      </c>
      <c r="H62" s="8" t="s">
        <v>78</v>
      </c>
      <c r="I62" s="10">
        <f>I58/K58</f>
        <v>1.839707078925956</v>
      </c>
      <c r="J62" s="10">
        <f>J58/L58</f>
        <v>0.64605370219690805</v>
      </c>
      <c r="K62" s="13">
        <f>J62/I62</f>
        <v>0.35117204776647504</v>
      </c>
    </row>
    <row r="63" spans="2:12" x14ac:dyDescent="0.25">
      <c r="B63" s="3" t="s">
        <v>66</v>
      </c>
      <c r="C63" s="5">
        <v>272</v>
      </c>
      <c r="D63" s="5">
        <v>391</v>
      </c>
      <c r="E63" s="5">
        <v>257</v>
      </c>
      <c r="F63" s="5">
        <v>257</v>
      </c>
      <c r="H63" s="8" t="s">
        <v>33</v>
      </c>
      <c r="I63" s="10">
        <f>I59/K59</f>
        <v>1.0410990009082652</v>
      </c>
      <c r="J63" s="10">
        <f>J59/L59</f>
        <v>0.96117166212534055</v>
      </c>
      <c r="K63" s="13">
        <f>J63/I63</f>
        <v>0.92322791712104679</v>
      </c>
    </row>
    <row r="64" spans="2:12" x14ac:dyDescent="0.25">
      <c r="B64" s="3" t="s">
        <v>68</v>
      </c>
      <c r="C64" s="5">
        <v>669</v>
      </c>
      <c r="D64" s="5">
        <v>180</v>
      </c>
      <c r="E64" s="5">
        <v>363</v>
      </c>
      <c r="F64" s="5">
        <v>363</v>
      </c>
    </row>
    <row r="65" spans="2:6" x14ac:dyDescent="0.25">
      <c r="B65" s="3" t="s">
        <v>69</v>
      </c>
      <c r="C65" s="5">
        <v>43</v>
      </c>
      <c r="D65" s="5" t="s">
        <v>67</v>
      </c>
      <c r="E65" s="5">
        <v>36</v>
      </c>
      <c r="F65" s="5">
        <v>36</v>
      </c>
    </row>
    <row r="66" spans="2:6" x14ac:dyDescent="0.25">
      <c r="B66" s="3" t="s">
        <v>70</v>
      </c>
      <c r="C66" s="5">
        <v>269</v>
      </c>
      <c r="D66" s="5">
        <v>134</v>
      </c>
      <c r="E66" s="5">
        <v>254</v>
      </c>
      <c r="F66" s="5">
        <v>254</v>
      </c>
    </row>
    <row r="67" spans="2:6" x14ac:dyDescent="0.25">
      <c r="B67" s="3" t="s">
        <v>71</v>
      </c>
      <c r="C67" s="5">
        <v>117</v>
      </c>
      <c r="D67" s="5" t="s">
        <v>67</v>
      </c>
      <c r="E67" s="5">
        <v>110</v>
      </c>
      <c r="F67" s="5">
        <v>110</v>
      </c>
    </row>
    <row r="68" spans="2:6" x14ac:dyDescent="0.25">
      <c r="B68" s="3" t="s">
        <v>72</v>
      </c>
      <c r="C68" s="5">
        <v>121</v>
      </c>
      <c r="D68" s="5">
        <v>315</v>
      </c>
      <c r="E68" s="5">
        <v>114</v>
      </c>
      <c r="F68" s="5">
        <v>114</v>
      </c>
    </row>
    <row r="69" spans="2:6" x14ac:dyDescent="0.25">
      <c r="B69" s="3" t="s">
        <v>73</v>
      </c>
      <c r="C69" s="5">
        <v>235</v>
      </c>
      <c r="D69" s="5">
        <v>83</v>
      </c>
      <c r="E69" s="5">
        <v>220</v>
      </c>
      <c r="F69" s="5">
        <v>220</v>
      </c>
    </row>
    <row r="70" spans="2:6" x14ac:dyDescent="0.25">
      <c r="B70" s="3" t="s">
        <v>74</v>
      </c>
      <c r="C70" s="4">
        <v>1233</v>
      </c>
      <c r="D70" s="5">
        <v>531</v>
      </c>
      <c r="E70" s="5">
        <v>670</v>
      </c>
      <c r="F70" s="5">
        <v>670</v>
      </c>
    </row>
    <row r="71" spans="2:6" x14ac:dyDescent="0.25">
      <c r="B71" s="3" t="s">
        <v>75</v>
      </c>
      <c r="C71" s="5">
        <v>187</v>
      </c>
      <c r="D71" s="5" t="s">
        <v>67</v>
      </c>
      <c r="E71" s="5">
        <v>177</v>
      </c>
      <c r="F71" s="5">
        <v>177</v>
      </c>
    </row>
    <row r="72" spans="2:6" x14ac:dyDescent="0.25">
      <c r="B72" s="3" t="s">
        <v>77</v>
      </c>
      <c r="C72" s="5" t="s">
        <v>67</v>
      </c>
      <c r="D72" s="5">
        <v>63</v>
      </c>
      <c r="E72" s="5">
        <v>92</v>
      </c>
      <c r="F72" s="5">
        <v>92</v>
      </c>
    </row>
    <row r="73" spans="2:6" x14ac:dyDescent="0.25">
      <c r="B73" s="3" t="s">
        <v>79</v>
      </c>
      <c r="C73" s="5">
        <v>259</v>
      </c>
      <c r="D73" s="5">
        <v>83</v>
      </c>
      <c r="E73" s="5">
        <v>141</v>
      </c>
      <c r="F73" s="5">
        <v>141</v>
      </c>
    </row>
    <row r="74" spans="2:6" x14ac:dyDescent="0.25">
      <c r="B74" s="3" t="s">
        <v>80</v>
      </c>
      <c r="C74" s="5">
        <v>100</v>
      </c>
      <c r="D74" s="5" t="s">
        <v>67</v>
      </c>
      <c r="E74" s="5">
        <v>55</v>
      </c>
      <c r="F74" s="5">
        <v>55</v>
      </c>
    </row>
    <row r="75" spans="2:6" x14ac:dyDescent="0.25">
      <c r="B75" s="3" t="s">
        <v>76</v>
      </c>
      <c r="C75" s="4">
        <v>3341</v>
      </c>
      <c r="D75" s="4">
        <v>3247</v>
      </c>
      <c r="E75" s="4">
        <v>3144</v>
      </c>
      <c r="F75" s="4">
        <v>3144</v>
      </c>
    </row>
    <row r="76" spans="2:6" x14ac:dyDescent="0.25">
      <c r="B76" s="3" t="s">
        <v>17</v>
      </c>
      <c r="C76" s="4">
        <v>7852</v>
      </c>
      <c r="D76" s="4">
        <v>7970</v>
      </c>
      <c r="E76" s="4">
        <v>9941</v>
      </c>
      <c r="F76" s="4">
        <v>9941</v>
      </c>
    </row>
    <row r="77" spans="2:6" x14ac:dyDescent="0.25">
      <c r="B77" s="2" t="s">
        <v>23</v>
      </c>
      <c r="C77" s="4">
        <v>5312</v>
      </c>
      <c r="D77" s="4">
        <v>5258</v>
      </c>
      <c r="E77" s="4">
        <v>3816</v>
      </c>
      <c r="F77" s="4">
        <v>3816</v>
      </c>
    </row>
    <row r="78" spans="2:6" x14ac:dyDescent="0.25">
      <c r="B78" s="2" t="s">
        <v>19</v>
      </c>
      <c r="C78" s="4">
        <v>3967</v>
      </c>
      <c r="D78" s="4">
        <v>3634</v>
      </c>
      <c r="E78" s="4">
        <v>4044</v>
      </c>
      <c r="F78" s="4">
        <v>4044</v>
      </c>
    </row>
    <row r="79" spans="2:6" x14ac:dyDescent="0.25">
      <c r="B79" s="2" t="s">
        <v>20</v>
      </c>
      <c r="C79" s="4">
        <v>5016</v>
      </c>
      <c r="D79" s="4">
        <v>5174</v>
      </c>
      <c r="E79" s="4">
        <v>4451</v>
      </c>
      <c r="F79" s="4">
        <v>4451</v>
      </c>
    </row>
    <row r="80" spans="2:6" x14ac:dyDescent="0.25">
      <c r="B80" s="2" t="s">
        <v>21</v>
      </c>
      <c r="C80" s="4">
        <v>1625</v>
      </c>
      <c r="D80" s="4">
        <v>1790</v>
      </c>
      <c r="E80" s="4">
        <v>1810</v>
      </c>
      <c r="F80" s="4">
        <v>1810</v>
      </c>
    </row>
    <row r="81" spans="2:6" x14ac:dyDescent="0.25">
      <c r="B81" s="3" t="s">
        <v>81</v>
      </c>
      <c r="C81" s="5" t="s">
        <v>67</v>
      </c>
      <c r="D81" s="5" t="s">
        <v>67</v>
      </c>
      <c r="E81" s="5">
        <v>476</v>
      </c>
      <c r="F81" s="5">
        <v>476</v>
      </c>
    </row>
    <row r="82" spans="2:6" x14ac:dyDescent="0.25">
      <c r="B82" s="3" t="s">
        <v>82</v>
      </c>
      <c r="C82" s="5" t="s">
        <v>67</v>
      </c>
      <c r="D82" s="5" t="s">
        <v>67</v>
      </c>
      <c r="E82" s="5">
        <v>114</v>
      </c>
      <c r="F82" s="5">
        <v>114</v>
      </c>
    </row>
    <row r="83" spans="2:6" x14ac:dyDescent="0.25">
      <c r="B83" s="3" t="s">
        <v>83</v>
      </c>
      <c r="C83" s="5" t="s">
        <v>67</v>
      </c>
      <c r="D83" s="5" t="s">
        <v>67</v>
      </c>
      <c r="E83" s="5">
        <v>560</v>
      </c>
      <c r="F83" s="5">
        <v>560</v>
      </c>
    </row>
    <row r="84" spans="2:6" x14ac:dyDescent="0.25">
      <c r="B84" s="3" t="s">
        <v>22</v>
      </c>
      <c r="C84" s="4">
        <v>6960</v>
      </c>
      <c r="D84" s="4">
        <v>6536</v>
      </c>
      <c r="E84" s="4">
        <v>4620</v>
      </c>
      <c r="F84" s="4">
        <v>4620</v>
      </c>
    </row>
    <row r="85" spans="2:6" x14ac:dyDescent="0.25">
      <c r="B85" s="3" t="s">
        <v>84</v>
      </c>
      <c r="C85" s="5">
        <v>391</v>
      </c>
      <c r="D85" s="5" t="s">
        <v>67</v>
      </c>
      <c r="E85" s="5">
        <v>771</v>
      </c>
      <c r="F85" s="5">
        <v>771</v>
      </c>
    </row>
    <row r="86" spans="2:6" x14ac:dyDescent="0.25">
      <c r="B86" s="3" t="s">
        <v>14</v>
      </c>
      <c r="C86" s="4">
        <v>17748</v>
      </c>
      <c r="D86" s="4">
        <v>18062</v>
      </c>
      <c r="E86" s="4">
        <v>20743</v>
      </c>
      <c r="F86" s="4">
        <v>20743</v>
      </c>
    </row>
    <row r="87" spans="2:6" x14ac:dyDescent="0.25">
      <c r="B87" s="3" t="s">
        <v>15</v>
      </c>
      <c r="C87" s="4">
        <v>13844</v>
      </c>
      <c r="D87" s="4">
        <v>13867</v>
      </c>
      <c r="E87" s="4">
        <v>10522</v>
      </c>
      <c r="F87" s="4">
        <v>10522</v>
      </c>
    </row>
  </sheetData>
  <mergeCells count="17">
    <mergeCell ref="W3:Y3"/>
    <mergeCell ref="S3:U3"/>
    <mergeCell ref="AE3:AH3"/>
    <mergeCell ref="AN3:AQ3"/>
    <mergeCell ref="AK3:AM3"/>
    <mergeCell ref="H3:H4"/>
    <mergeCell ref="C56:C57"/>
    <mergeCell ref="D56:D57"/>
    <mergeCell ref="E56:E57"/>
    <mergeCell ref="F56:F57"/>
    <mergeCell ref="G3:G4"/>
    <mergeCell ref="B56:B57"/>
    <mergeCell ref="B3:B4"/>
    <mergeCell ref="C3:C4"/>
    <mergeCell ref="D3:D4"/>
    <mergeCell ref="F3:F4"/>
    <mergeCell ref="E3:E4"/>
  </mergeCells>
  <conditionalFormatting sqref="O18">
    <cfRule type="cellIs" dxfId="83" priority="4" operator="lessThan">
      <formula>0.88</formula>
    </cfRule>
  </conditionalFormatting>
  <conditionalFormatting sqref="T22:T36">
    <cfRule type="cellIs" dxfId="82" priority="2" operator="equal">
      <formula>0.9</formula>
    </cfRule>
    <cfRule type="cellIs" dxfId="81" priority="3" operator="greaterThan">
      <formula>0.9</formula>
    </cfRule>
  </conditionalFormatting>
  <conditionalFormatting sqref="AH5:AH19">
    <cfRule type="cellIs" dxfId="80" priority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25A6-1372-48C2-8470-B631C54B4B97}">
  <sheetPr codeName="Hoja3"/>
  <dimension ref="B2:AM95"/>
  <sheetViews>
    <sheetView topLeftCell="A58" zoomScale="127" workbookViewId="0">
      <selection activeCell="F64" sqref="F64"/>
    </sheetView>
  </sheetViews>
  <sheetFormatPr baseColWidth="10" defaultColWidth="8.85546875" defaultRowHeight="15" x14ac:dyDescent="0.25"/>
  <cols>
    <col min="1" max="1" width="5.28515625" customWidth="1"/>
    <col min="3" max="3" width="11.5703125" customWidth="1"/>
    <col min="4" max="4" width="12.42578125" customWidth="1"/>
    <col min="5" max="5" width="13.42578125" customWidth="1"/>
    <col min="6" max="6" width="12" customWidth="1"/>
    <col min="7" max="7" width="11.5703125" customWidth="1"/>
    <col min="8" max="8" width="10.5703125" customWidth="1"/>
    <col min="10" max="10" width="11" customWidth="1"/>
    <col min="11" max="11" width="8.7109375" customWidth="1"/>
    <col min="13" max="13" width="19.28515625" customWidth="1"/>
    <col min="14" max="14" width="15.42578125" customWidth="1"/>
    <col min="25" max="25" width="8.7109375" customWidth="1"/>
    <col min="28" max="28" width="12.5703125" style="11" customWidth="1"/>
    <col min="29" max="29" width="27.42578125" bestFit="1" customWidth="1"/>
    <col min="31" max="31" width="11.42578125" bestFit="1" customWidth="1"/>
    <col min="32" max="32" width="11.42578125" customWidth="1"/>
    <col min="34" max="34" width="28" bestFit="1" customWidth="1"/>
  </cols>
  <sheetData>
    <row r="2" spans="2:39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AB2" s="11">
        <v>1</v>
      </c>
      <c r="AC2">
        <v>2</v>
      </c>
      <c r="AD2">
        <v>3</v>
      </c>
      <c r="AE2">
        <v>4</v>
      </c>
    </row>
    <row r="3" spans="2:39" x14ac:dyDescent="0.25">
      <c r="B3" s="263" t="s">
        <v>34</v>
      </c>
      <c r="C3" s="263" t="s">
        <v>35</v>
      </c>
      <c r="D3" s="265" t="s">
        <v>99</v>
      </c>
      <c r="E3" s="263" t="s">
        <v>37</v>
      </c>
      <c r="F3" s="265" t="s">
        <v>39</v>
      </c>
      <c r="G3" s="265" t="s">
        <v>100</v>
      </c>
      <c r="H3" s="265" t="s">
        <v>40</v>
      </c>
      <c r="I3" s="265" t="s">
        <v>97</v>
      </c>
      <c r="J3" s="265" t="s">
        <v>101</v>
      </c>
      <c r="K3" s="265" t="s">
        <v>93</v>
      </c>
      <c r="AB3" s="20" t="s">
        <v>34</v>
      </c>
      <c r="AC3" s="111" t="s">
        <v>102</v>
      </c>
      <c r="AD3" s="20" t="s">
        <v>103</v>
      </c>
      <c r="AE3" s="111" t="s">
        <v>104</v>
      </c>
      <c r="AG3" s="20" t="s">
        <v>34</v>
      </c>
      <c r="AH3" s="111" t="s">
        <v>102</v>
      </c>
      <c r="AI3" s="111" t="s">
        <v>105</v>
      </c>
      <c r="AL3">
        <v>1</v>
      </c>
      <c r="AM3">
        <v>2</v>
      </c>
    </row>
    <row r="4" spans="2:39" x14ac:dyDescent="0.25">
      <c r="B4" s="264"/>
      <c r="C4" s="264"/>
      <c r="D4" s="266"/>
      <c r="E4" s="264"/>
      <c r="F4" s="266"/>
      <c r="G4" s="266"/>
      <c r="H4" s="266"/>
      <c r="I4" s="266"/>
      <c r="J4" s="266"/>
      <c r="K4" s="266"/>
      <c r="M4" s="102" t="s">
        <v>34</v>
      </c>
      <c r="N4" s="20" t="s">
        <v>55</v>
      </c>
      <c r="O4" s="20" t="s">
        <v>56</v>
      </c>
      <c r="P4" s="20" t="s">
        <v>106</v>
      </c>
      <c r="Q4" s="20" t="s">
        <v>107</v>
      </c>
      <c r="R4" s="20" t="s">
        <v>108</v>
      </c>
      <c r="T4" s="102" t="s">
        <v>34</v>
      </c>
      <c r="U4" s="20" t="s">
        <v>55</v>
      </c>
      <c r="V4" s="20" t="s">
        <v>56</v>
      </c>
      <c r="W4" s="20" t="s">
        <v>106</v>
      </c>
      <c r="X4" s="20" t="s">
        <v>107</v>
      </c>
      <c r="Y4" s="20" t="s">
        <v>108</v>
      </c>
      <c r="AB4" s="23" t="s">
        <v>66</v>
      </c>
      <c r="AC4" s="86" t="s">
        <v>109</v>
      </c>
      <c r="AD4" s="30">
        <v>0.9</v>
      </c>
      <c r="AE4" s="110">
        <v>1</v>
      </c>
      <c r="AG4" s="23" t="s">
        <v>66</v>
      </c>
      <c r="AH4" s="113" t="s">
        <v>109</v>
      </c>
      <c r="AI4" s="112">
        <v>0.43529411764705883</v>
      </c>
      <c r="AL4" s="115" t="s">
        <v>1</v>
      </c>
      <c r="AM4" s="115" t="s">
        <v>110</v>
      </c>
    </row>
    <row r="5" spans="2:39" x14ac:dyDescent="0.25">
      <c r="B5" s="2" t="s">
        <v>13</v>
      </c>
      <c r="C5" s="4">
        <v>4794458</v>
      </c>
      <c r="D5" s="4">
        <v>4975969</v>
      </c>
      <c r="E5" s="79">
        <f>D5/C5</f>
        <v>1.037858502462635</v>
      </c>
      <c r="F5" s="5">
        <v>0.99</v>
      </c>
      <c r="G5" s="5">
        <v>1.05</v>
      </c>
      <c r="H5" s="79">
        <f>G5/F5</f>
        <v>1.0606060606060606</v>
      </c>
      <c r="I5" s="4">
        <v>47909</v>
      </c>
      <c r="J5" s="4">
        <v>50688</v>
      </c>
      <c r="K5" s="4">
        <v>48269</v>
      </c>
      <c r="M5" s="103" t="s">
        <v>16</v>
      </c>
      <c r="N5" s="101">
        <v>463.16666666666669</v>
      </c>
      <c r="O5" s="101">
        <v>523.33333333333337</v>
      </c>
      <c r="P5" s="101">
        <v>583.5</v>
      </c>
      <c r="Q5" s="101">
        <v>643.66666666666663</v>
      </c>
      <c r="R5" s="100">
        <f>SUM(N5:Q5)</f>
        <v>2213.6666666666665</v>
      </c>
      <c r="T5" s="103" t="s">
        <v>68</v>
      </c>
      <c r="U5" s="101">
        <v>84.63333333333334</v>
      </c>
      <c r="V5" s="101">
        <v>88.26666666666668</v>
      </c>
      <c r="W5" s="101">
        <v>91.90000000000002</v>
      </c>
      <c r="X5" s="101">
        <v>95.53333333333336</v>
      </c>
      <c r="Y5" s="100">
        <f>SUM(U5:X5)</f>
        <v>360.33333333333343</v>
      </c>
      <c r="AB5" s="23" t="s">
        <v>81</v>
      </c>
      <c r="AC5" s="109" t="s">
        <v>111</v>
      </c>
      <c r="AD5" s="30">
        <v>0.9</v>
      </c>
      <c r="AE5" s="110">
        <v>1</v>
      </c>
      <c r="AG5" s="98" t="s">
        <v>81</v>
      </c>
      <c r="AH5" s="113" t="s">
        <v>111</v>
      </c>
      <c r="AI5" s="112">
        <v>0.83783783783783783</v>
      </c>
      <c r="AL5" s="14" t="s">
        <v>13</v>
      </c>
      <c r="AM5" s="21">
        <v>0.96701655572623324</v>
      </c>
    </row>
    <row r="6" spans="2:39" x14ac:dyDescent="0.25">
      <c r="B6" s="3" t="s">
        <v>26</v>
      </c>
      <c r="C6" s="4">
        <v>700043</v>
      </c>
      <c r="D6" s="4">
        <v>624524</v>
      </c>
      <c r="E6" s="79">
        <f t="shared" ref="E6:E34" si="0">D6/C6</f>
        <v>0.89212234105619226</v>
      </c>
      <c r="F6" s="5">
        <v>0.86</v>
      </c>
      <c r="G6" s="5">
        <v>0.81</v>
      </c>
      <c r="H6" s="79">
        <f t="shared" ref="H6:H34" si="1">G6/F6</f>
        <v>0.94186046511627919</v>
      </c>
      <c r="I6" s="4">
        <v>5594</v>
      </c>
      <c r="J6" s="4">
        <v>5258</v>
      </c>
      <c r="K6" s="4">
        <v>6490</v>
      </c>
      <c r="M6" s="103" t="s">
        <v>15</v>
      </c>
      <c r="N6" s="101">
        <v>877.72916666666663</v>
      </c>
      <c r="O6" s="101">
        <v>965.45833333333326</v>
      </c>
      <c r="P6" s="101">
        <v>1053.1875</v>
      </c>
      <c r="Q6" s="101">
        <v>1140.9166666666667</v>
      </c>
      <c r="R6" s="100">
        <f t="shared" ref="R6:R18" si="2">SUM(N6:Q6)</f>
        <v>4037.291666666667</v>
      </c>
      <c r="T6" s="103" t="s">
        <v>74</v>
      </c>
      <c r="U6" s="101">
        <v>23.65</v>
      </c>
      <c r="V6" s="101">
        <v>30.299999999999997</v>
      </c>
      <c r="W6" s="101">
        <v>36.949999999999996</v>
      </c>
      <c r="X6" s="101">
        <v>43.599999999999994</v>
      </c>
      <c r="Y6" s="100">
        <f t="shared" ref="Y6:Y8" si="3">SUM(U6:X6)</f>
        <v>134.5</v>
      </c>
      <c r="AB6" s="23" t="s">
        <v>70</v>
      </c>
      <c r="AC6" s="86" t="s">
        <v>112</v>
      </c>
      <c r="AD6" s="30">
        <v>0.9</v>
      </c>
      <c r="AE6" s="110">
        <v>1</v>
      </c>
      <c r="AG6" s="98" t="s">
        <v>70</v>
      </c>
      <c r="AH6" s="113" t="s">
        <v>112</v>
      </c>
      <c r="AI6" s="112">
        <v>0.34163701067615659</v>
      </c>
      <c r="AL6" s="14" t="s">
        <v>14</v>
      </c>
      <c r="AM6" s="21"/>
    </row>
    <row r="7" spans="2:39" x14ac:dyDescent="0.25">
      <c r="B7" s="3" t="s">
        <v>16</v>
      </c>
      <c r="C7" s="4">
        <v>1260252</v>
      </c>
      <c r="D7" s="4">
        <v>1250021</v>
      </c>
      <c r="E7" s="79">
        <f t="shared" si="0"/>
        <v>0.99188178237368396</v>
      </c>
      <c r="F7" s="5">
        <v>1.03</v>
      </c>
      <c r="G7" s="5">
        <v>1.05</v>
      </c>
      <c r="H7" s="79">
        <f t="shared" si="1"/>
        <v>1.0194174757281553</v>
      </c>
      <c r="I7" s="4">
        <v>9577</v>
      </c>
      <c r="J7" s="4">
        <v>9730</v>
      </c>
      <c r="K7" s="4">
        <v>9272</v>
      </c>
      <c r="M7" s="103" t="s">
        <v>18</v>
      </c>
      <c r="N7" s="101">
        <v>1938.3125</v>
      </c>
      <c r="O7" s="101">
        <v>2000.625</v>
      </c>
      <c r="P7" s="101">
        <v>2062.9375</v>
      </c>
      <c r="Q7" s="101">
        <v>2125.25</v>
      </c>
      <c r="R7" s="100">
        <f t="shared" si="2"/>
        <v>8127.125</v>
      </c>
      <c r="T7" s="103" t="s">
        <v>79</v>
      </c>
      <c r="U7" s="101">
        <v>1.1083333333333334</v>
      </c>
      <c r="V7" s="101">
        <v>2.2166666666666668</v>
      </c>
      <c r="W7" s="101">
        <v>3.3250000000000002</v>
      </c>
      <c r="X7" s="101">
        <v>4.4333333333333336</v>
      </c>
      <c r="Y7" s="100">
        <f t="shared" si="3"/>
        <v>11.083333333333334</v>
      </c>
      <c r="AB7" s="23" t="s">
        <v>68</v>
      </c>
      <c r="AC7" s="86" t="s">
        <v>113</v>
      </c>
      <c r="AD7" s="30">
        <v>0.9</v>
      </c>
      <c r="AE7" s="110">
        <v>0.42857142857142855</v>
      </c>
      <c r="AG7" s="98" t="s">
        <v>68</v>
      </c>
      <c r="AH7" s="113" t="s">
        <v>113</v>
      </c>
      <c r="AI7" s="112">
        <v>0.10422163588390501</v>
      </c>
      <c r="AL7" s="14" t="s">
        <v>15</v>
      </c>
      <c r="AM7" s="21">
        <v>1.1111111111111112</v>
      </c>
    </row>
    <row r="8" spans="2:39" x14ac:dyDescent="0.25">
      <c r="B8" s="3" t="s">
        <v>25</v>
      </c>
      <c r="C8" s="4">
        <v>1264567</v>
      </c>
      <c r="D8" s="4">
        <v>1122863</v>
      </c>
      <c r="E8" s="79">
        <f t="shared" si="0"/>
        <v>0.88794267128590265</v>
      </c>
      <c r="F8" s="5">
        <v>1.27</v>
      </c>
      <c r="G8" s="5">
        <v>1.1399999999999999</v>
      </c>
      <c r="H8" s="79">
        <f t="shared" si="1"/>
        <v>0.89763779527559051</v>
      </c>
      <c r="I8" s="4">
        <v>6124</v>
      </c>
      <c r="J8" s="4">
        <v>5511</v>
      </c>
      <c r="K8" s="4">
        <v>4820</v>
      </c>
      <c r="M8" s="103" t="s">
        <v>13</v>
      </c>
      <c r="N8" s="101">
        <v>5003.7166666666662</v>
      </c>
      <c r="O8" s="101">
        <v>5239.4333333333325</v>
      </c>
      <c r="P8" s="101">
        <v>5475.1499999999987</v>
      </c>
      <c r="Q8" s="101">
        <v>5710.866666666665</v>
      </c>
      <c r="R8" s="100">
        <f t="shared" si="2"/>
        <v>21429.166666666661</v>
      </c>
      <c r="T8" s="103" t="s">
        <v>80</v>
      </c>
      <c r="U8" s="101">
        <v>0.91249999999999998</v>
      </c>
      <c r="V8" s="101">
        <v>1.825</v>
      </c>
      <c r="W8" s="101">
        <v>2.7374999999999998</v>
      </c>
      <c r="X8" s="101">
        <v>3.65</v>
      </c>
      <c r="Y8" s="100">
        <f t="shared" si="3"/>
        <v>9.125</v>
      </c>
      <c r="AB8" s="23" t="s">
        <v>114</v>
      </c>
      <c r="AC8" s="86" t="s">
        <v>115</v>
      </c>
      <c r="AD8" s="30">
        <v>0.9</v>
      </c>
      <c r="AE8" s="110">
        <v>1</v>
      </c>
      <c r="AG8" s="98" t="s">
        <v>82</v>
      </c>
      <c r="AH8" s="113" t="s">
        <v>116</v>
      </c>
      <c r="AI8" s="112">
        <v>0.53551912568306015</v>
      </c>
      <c r="AL8" s="14" t="s">
        <v>16</v>
      </c>
      <c r="AM8" s="21">
        <v>1.0637912154944371</v>
      </c>
    </row>
    <row r="9" spans="2:39" x14ac:dyDescent="0.25">
      <c r="B9" s="3" t="s">
        <v>18</v>
      </c>
      <c r="C9" s="4">
        <v>926654</v>
      </c>
      <c r="D9" s="4">
        <v>894183</v>
      </c>
      <c r="E9" s="79">
        <f t="shared" si="0"/>
        <v>0.96495887353855914</v>
      </c>
      <c r="F9" s="5">
        <v>0.85</v>
      </c>
      <c r="G9" s="5">
        <v>0.84</v>
      </c>
      <c r="H9" s="79">
        <f t="shared" si="1"/>
        <v>0.9882352941176471</v>
      </c>
      <c r="I9" s="4">
        <v>6557</v>
      </c>
      <c r="J9" s="4">
        <v>6508</v>
      </c>
      <c r="K9" s="4">
        <v>7744</v>
      </c>
      <c r="M9" s="103" t="s">
        <v>14</v>
      </c>
      <c r="N9" s="101">
        <v>1782.0683333333334</v>
      </c>
      <c r="O9" s="101">
        <v>1873.1366666666668</v>
      </c>
      <c r="P9" s="101">
        <v>1964.2050000000002</v>
      </c>
      <c r="Q9" s="101">
        <v>2055.2733333333335</v>
      </c>
      <c r="R9" s="100">
        <f t="shared" si="2"/>
        <v>7674.6833333333334</v>
      </c>
      <c r="AB9" s="23" t="s">
        <v>26</v>
      </c>
      <c r="AC9" s="86" t="s">
        <v>117</v>
      </c>
      <c r="AD9" s="30">
        <v>0.9</v>
      </c>
      <c r="AE9" s="110">
        <v>1</v>
      </c>
      <c r="AG9" s="98" t="s">
        <v>26</v>
      </c>
      <c r="AH9" s="113" t="s">
        <v>117</v>
      </c>
      <c r="AI9" s="112">
        <v>0.96668581275129239</v>
      </c>
      <c r="AL9" s="14" t="s">
        <v>17</v>
      </c>
      <c r="AM9" s="21">
        <v>1.1111111111111112</v>
      </c>
    </row>
    <row r="10" spans="2:39" x14ac:dyDescent="0.25">
      <c r="B10" s="3" t="s">
        <v>66</v>
      </c>
      <c r="C10" s="4"/>
      <c r="D10" s="5"/>
      <c r="E10" s="79"/>
      <c r="F10" s="5">
        <v>1.04</v>
      </c>
      <c r="G10" s="5">
        <v>1.66</v>
      </c>
      <c r="H10" s="79">
        <f t="shared" si="1"/>
        <v>1.596153846153846</v>
      </c>
      <c r="I10" s="5">
        <v>355</v>
      </c>
      <c r="J10" s="5">
        <v>567</v>
      </c>
      <c r="K10" s="5">
        <v>342</v>
      </c>
      <c r="M10" s="103" t="s">
        <v>17</v>
      </c>
      <c r="N10" s="101">
        <v>422.73333333333335</v>
      </c>
      <c r="O10" s="101">
        <v>441.4666666666667</v>
      </c>
      <c r="P10" s="101">
        <v>460.20000000000005</v>
      </c>
      <c r="Q10" s="101">
        <v>478.93333333333339</v>
      </c>
      <c r="R10" s="100">
        <f t="shared" si="2"/>
        <v>1803.3333333333335</v>
      </c>
      <c r="T10" s="102" t="s">
        <v>34</v>
      </c>
      <c r="U10" s="20" t="s">
        <v>55</v>
      </c>
      <c r="V10" s="20" t="s">
        <v>56</v>
      </c>
      <c r="W10" s="20" t="s">
        <v>106</v>
      </c>
      <c r="X10" s="20" t="s">
        <v>107</v>
      </c>
      <c r="Y10" s="20" t="s">
        <v>108</v>
      </c>
      <c r="AB10" s="23" t="s">
        <v>13</v>
      </c>
      <c r="AC10" s="86" t="s">
        <v>118</v>
      </c>
      <c r="AD10" s="30">
        <v>0.9</v>
      </c>
      <c r="AE10" s="110">
        <v>0.9953146531924667</v>
      </c>
      <c r="AG10" s="98" t="s">
        <v>13</v>
      </c>
      <c r="AH10" s="113" t="s">
        <v>118</v>
      </c>
      <c r="AI10" s="112">
        <v>0.84062980030721968</v>
      </c>
      <c r="AL10" s="14" t="s">
        <v>18</v>
      </c>
      <c r="AM10" s="21">
        <v>1.0069076996154176</v>
      </c>
    </row>
    <row r="11" spans="2:39" x14ac:dyDescent="0.25">
      <c r="B11" s="3" t="s">
        <v>68</v>
      </c>
      <c r="C11" s="4"/>
      <c r="D11" s="5">
        <v>540</v>
      </c>
      <c r="E11" s="79"/>
      <c r="F11" s="5">
        <v>2.08</v>
      </c>
      <c r="G11" s="5">
        <v>1.7</v>
      </c>
      <c r="H11" s="79">
        <f t="shared" si="1"/>
        <v>0.81730769230769229</v>
      </c>
      <c r="I11" s="4">
        <v>1009</v>
      </c>
      <c r="J11" s="5">
        <v>824</v>
      </c>
      <c r="K11" s="5">
        <v>484</v>
      </c>
      <c r="M11" s="103" t="s">
        <v>26</v>
      </c>
      <c r="N11" s="101">
        <v>476.79583333333335</v>
      </c>
      <c r="O11" s="101">
        <v>493.5916666666667</v>
      </c>
      <c r="P11" s="101">
        <v>510.38750000000005</v>
      </c>
      <c r="Q11" s="101">
        <v>527.18333333333339</v>
      </c>
      <c r="R11" s="100">
        <f t="shared" si="2"/>
        <v>2007.9583333333335</v>
      </c>
      <c r="T11" s="26" t="s">
        <v>68</v>
      </c>
      <c r="U11" s="26">
        <v>85</v>
      </c>
      <c r="V11" s="26">
        <v>90</v>
      </c>
      <c r="W11" s="26">
        <v>91</v>
      </c>
      <c r="X11" s="26">
        <v>91</v>
      </c>
      <c r="Y11" s="23">
        <f>SUM(U11:X11)</f>
        <v>357</v>
      </c>
      <c r="AB11" s="23" t="s">
        <v>15</v>
      </c>
      <c r="AC11" s="86" t="s">
        <v>119</v>
      </c>
      <c r="AD11" s="30">
        <v>0.9</v>
      </c>
      <c r="AE11" s="110">
        <v>1</v>
      </c>
      <c r="AG11" s="98" t="s">
        <v>15</v>
      </c>
      <c r="AH11" s="113" t="s">
        <v>119</v>
      </c>
      <c r="AI11" s="112">
        <v>1</v>
      </c>
      <c r="AL11" s="14" t="s">
        <v>19</v>
      </c>
      <c r="AM11" s="21">
        <v>1.0857092306136893</v>
      </c>
    </row>
    <row r="12" spans="2:39" x14ac:dyDescent="0.25">
      <c r="B12" s="3" t="s">
        <v>69</v>
      </c>
      <c r="C12" s="4"/>
      <c r="D12" s="5"/>
      <c r="E12" s="79"/>
      <c r="F12" s="5">
        <v>1.2</v>
      </c>
      <c r="G12" s="5" t="s">
        <v>67</v>
      </c>
      <c r="H12" s="79"/>
      <c r="I12" s="5">
        <v>57</v>
      </c>
      <c r="J12" s="5"/>
      <c r="K12" s="5">
        <v>47</v>
      </c>
      <c r="M12" s="103" t="s">
        <v>25</v>
      </c>
      <c r="N12" s="101">
        <v>348.1</v>
      </c>
      <c r="O12" s="101">
        <v>362.20000000000005</v>
      </c>
      <c r="P12" s="101">
        <v>376.30000000000007</v>
      </c>
      <c r="Q12" s="101">
        <v>390.40000000000009</v>
      </c>
      <c r="R12" s="100">
        <f t="shared" si="2"/>
        <v>1477.0000000000002</v>
      </c>
      <c r="T12" s="26" t="s">
        <v>74</v>
      </c>
      <c r="U12" s="26">
        <v>19</v>
      </c>
      <c r="V12" s="26">
        <v>29</v>
      </c>
      <c r="W12" s="26">
        <v>37</v>
      </c>
      <c r="X12" s="26">
        <v>37</v>
      </c>
      <c r="Y12" s="23">
        <f t="shared" ref="Y12:Y14" si="4">SUM(U12:X12)</f>
        <v>122</v>
      </c>
      <c r="AB12" s="23" t="s">
        <v>83</v>
      </c>
      <c r="AC12" s="86" t="s">
        <v>120</v>
      </c>
      <c r="AD12" s="30">
        <v>0.9</v>
      </c>
      <c r="AE12" s="110">
        <v>1</v>
      </c>
      <c r="AG12" s="98" t="s">
        <v>83</v>
      </c>
      <c r="AH12" s="11" t="s">
        <v>120</v>
      </c>
      <c r="AI12" s="112">
        <v>1</v>
      </c>
      <c r="AL12" s="14" t="s">
        <v>20</v>
      </c>
      <c r="AM12" s="21">
        <v>1.0987458046281573</v>
      </c>
    </row>
    <row r="13" spans="2:39" x14ac:dyDescent="0.25">
      <c r="B13" s="3" t="s">
        <v>70</v>
      </c>
      <c r="C13" s="4"/>
      <c r="D13" s="5"/>
      <c r="E13" s="79"/>
      <c r="F13" s="5">
        <v>1.04</v>
      </c>
      <c r="G13" s="5">
        <v>0.4</v>
      </c>
      <c r="H13" s="79">
        <f t="shared" si="1"/>
        <v>0.38461538461538464</v>
      </c>
      <c r="I13" s="5">
        <v>351</v>
      </c>
      <c r="J13" s="5">
        <v>134</v>
      </c>
      <c r="K13" s="5">
        <v>339</v>
      </c>
      <c r="M13" s="103" t="s">
        <v>21</v>
      </c>
      <c r="N13" s="101">
        <v>93.224999999999994</v>
      </c>
      <c r="O13" s="101">
        <v>98.449999999999989</v>
      </c>
      <c r="P13" s="101">
        <v>103.67499999999998</v>
      </c>
      <c r="Q13" s="101">
        <v>108.89999999999998</v>
      </c>
      <c r="R13" s="100">
        <f t="shared" si="2"/>
        <v>404.24999999999994</v>
      </c>
      <c r="T13" s="26" t="s">
        <v>79</v>
      </c>
      <c r="U13" s="26">
        <v>0</v>
      </c>
      <c r="V13" s="26">
        <v>0</v>
      </c>
      <c r="W13" s="26">
        <v>0</v>
      </c>
      <c r="X13" s="26">
        <v>0</v>
      </c>
      <c r="Y13" s="23">
        <f t="shared" si="4"/>
        <v>0</v>
      </c>
      <c r="AB13" s="23" t="s">
        <v>71</v>
      </c>
      <c r="AC13" s="86" t="s">
        <v>121</v>
      </c>
      <c r="AD13" s="30">
        <v>0.9</v>
      </c>
      <c r="AE13" s="110">
        <v>1</v>
      </c>
      <c r="AG13" s="98" t="s">
        <v>71</v>
      </c>
      <c r="AH13" s="113" t="s">
        <v>121</v>
      </c>
      <c r="AI13" s="112">
        <v>1</v>
      </c>
      <c r="AL13" s="14" t="s">
        <v>21</v>
      </c>
      <c r="AM13" s="21">
        <v>1.0716166403370195</v>
      </c>
    </row>
    <row r="14" spans="2:39" x14ac:dyDescent="0.25">
      <c r="B14" s="3" t="s">
        <v>71</v>
      </c>
      <c r="C14" s="4"/>
      <c r="D14" s="5"/>
      <c r="E14" s="79"/>
      <c r="F14" s="5">
        <v>1.04</v>
      </c>
      <c r="G14" s="5" t="s">
        <v>67</v>
      </c>
      <c r="H14" s="79"/>
      <c r="I14" s="5">
        <v>153</v>
      </c>
      <c r="J14" s="5"/>
      <c r="K14" s="5">
        <v>146</v>
      </c>
      <c r="M14" s="103" t="s">
        <v>19</v>
      </c>
      <c r="N14" s="101">
        <v>183.82916666666665</v>
      </c>
      <c r="O14" s="101">
        <v>196.6583333333333</v>
      </c>
      <c r="P14" s="101">
        <v>209.48749999999995</v>
      </c>
      <c r="Q14" s="101">
        <v>222.31666666666661</v>
      </c>
      <c r="R14" s="100">
        <f t="shared" si="2"/>
        <v>812.29166666666652</v>
      </c>
      <c r="T14" s="26" t="s">
        <v>80</v>
      </c>
      <c r="U14" s="26">
        <v>0</v>
      </c>
      <c r="V14" s="26">
        <v>0</v>
      </c>
      <c r="W14" s="26">
        <v>0</v>
      </c>
      <c r="X14" s="26">
        <v>0</v>
      </c>
      <c r="Y14" s="23">
        <f t="shared" si="4"/>
        <v>0</v>
      </c>
      <c r="AB14" s="23" t="s">
        <v>16</v>
      </c>
      <c r="AC14" s="86" t="s">
        <v>122</v>
      </c>
      <c r="AD14" s="30">
        <v>0.9</v>
      </c>
      <c r="AE14" s="110">
        <v>0.95864197530864192</v>
      </c>
      <c r="AG14" s="98" t="s">
        <v>16</v>
      </c>
      <c r="AH14" s="113" t="s">
        <v>122</v>
      </c>
      <c r="AI14" s="112">
        <v>0.95618221258134495</v>
      </c>
      <c r="AL14" s="14" t="s">
        <v>22</v>
      </c>
      <c r="AM14" s="21">
        <v>1.1111111111111112</v>
      </c>
    </row>
    <row r="15" spans="2:39" x14ac:dyDescent="0.25">
      <c r="B15" s="3" t="s">
        <v>72</v>
      </c>
      <c r="C15" s="4"/>
      <c r="D15" s="5"/>
      <c r="E15" s="79"/>
      <c r="F15" s="5">
        <v>1.04</v>
      </c>
      <c r="G15" s="5">
        <v>2.99</v>
      </c>
      <c r="H15" s="79">
        <f t="shared" si="1"/>
        <v>2.875</v>
      </c>
      <c r="I15" s="5">
        <v>158</v>
      </c>
      <c r="J15" s="5">
        <v>455</v>
      </c>
      <c r="K15" s="5">
        <v>152</v>
      </c>
      <c r="M15" s="103" t="s">
        <v>23</v>
      </c>
      <c r="N15" s="101">
        <v>103.07916666666667</v>
      </c>
      <c r="O15" s="101">
        <v>121.15833333333333</v>
      </c>
      <c r="P15" s="101">
        <v>139.23750000000001</v>
      </c>
      <c r="Q15" s="101">
        <v>157.31666666666669</v>
      </c>
      <c r="R15" s="100">
        <f t="shared" si="2"/>
        <v>520.79166666666674</v>
      </c>
      <c r="AB15" s="23" t="s">
        <v>19</v>
      </c>
      <c r="AC15" s="86" t="s">
        <v>123</v>
      </c>
      <c r="AD15" s="30">
        <v>0.9</v>
      </c>
      <c r="AE15" s="110">
        <v>0.9642857142857143</v>
      </c>
      <c r="AG15" s="98" t="s">
        <v>19</v>
      </c>
      <c r="AH15" s="113" t="s">
        <v>123</v>
      </c>
      <c r="AI15" s="112">
        <v>0.98999090081892627</v>
      </c>
      <c r="AL15" s="14" t="s">
        <v>23</v>
      </c>
      <c r="AM15" s="21">
        <v>0.99721559268098647</v>
      </c>
    </row>
    <row r="16" spans="2:39" x14ac:dyDescent="0.25">
      <c r="B16" s="3" t="s">
        <v>73</v>
      </c>
      <c r="C16" s="4"/>
      <c r="D16" s="5"/>
      <c r="E16" s="79"/>
      <c r="F16" s="5">
        <v>1.04</v>
      </c>
      <c r="G16" s="5">
        <v>0.28000000000000003</v>
      </c>
      <c r="H16" s="79">
        <f t="shared" si="1"/>
        <v>0.26923076923076927</v>
      </c>
      <c r="I16" s="5">
        <v>306</v>
      </c>
      <c r="J16" s="5">
        <v>83</v>
      </c>
      <c r="K16" s="5">
        <v>293</v>
      </c>
      <c r="M16" s="103" t="s">
        <v>22</v>
      </c>
      <c r="N16" s="101">
        <v>416.03750000000002</v>
      </c>
      <c r="O16" s="101">
        <v>425.07500000000005</v>
      </c>
      <c r="P16" s="101">
        <v>434.11250000000007</v>
      </c>
      <c r="Q16" s="101">
        <v>443.15000000000009</v>
      </c>
      <c r="R16" s="100">
        <f t="shared" si="2"/>
        <v>1718.3750000000002</v>
      </c>
      <c r="T16" s="106" t="s">
        <v>78</v>
      </c>
      <c r="U16" s="107">
        <f>SUM(Y5:Y8)</f>
        <v>515.04166666666674</v>
      </c>
      <c r="V16" s="86">
        <f>SUM(Y11:Y14)</f>
        <v>479</v>
      </c>
      <c r="W16" s="87">
        <f>V16/U16</f>
        <v>0.93002184289296974</v>
      </c>
      <c r="AB16" s="23" t="s">
        <v>72</v>
      </c>
      <c r="AC16" s="86" t="s">
        <v>124</v>
      </c>
      <c r="AD16" s="30">
        <v>0.9</v>
      </c>
      <c r="AE16" s="110">
        <v>1</v>
      </c>
      <c r="AG16" s="98" t="s">
        <v>72</v>
      </c>
      <c r="AH16" s="113" t="s">
        <v>124</v>
      </c>
      <c r="AI16" s="112">
        <v>0.71311475409836067</v>
      </c>
      <c r="AL16" s="14" t="s">
        <v>25</v>
      </c>
      <c r="AM16" s="21">
        <v>0.96666666666666667</v>
      </c>
    </row>
    <row r="17" spans="2:39" x14ac:dyDescent="0.25">
      <c r="B17" s="3" t="s">
        <v>74</v>
      </c>
      <c r="C17" s="4">
        <v>20000</v>
      </c>
      <c r="D17" s="5">
        <v>954</v>
      </c>
      <c r="E17" s="79">
        <f t="shared" si="0"/>
        <v>4.7699999999999999E-2</v>
      </c>
      <c r="F17" s="5">
        <v>2.08</v>
      </c>
      <c r="G17" s="5">
        <v>2.5</v>
      </c>
      <c r="H17" s="79">
        <f t="shared" si="1"/>
        <v>1.2019230769230769</v>
      </c>
      <c r="I17" s="4">
        <v>1860</v>
      </c>
      <c r="J17" s="4">
        <v>2235</v>
      </c>
      <c r="K17" s="5">
        <v>894</v>
      </c>
      <c r="M17" s="103" t="s">
        <v>20</v>
      </c>
      <c r="N17" s="101">
        <v>177.55</v>
      </c>
      <c r="O17" s="101">
        <v>187.10000000000002</v>
      </c>
      <c r="P17" s="101">
        <v>196.65000000000003</v>
      </c>
      <c r="Q17" s="101">
        <v>206.20000000000005</v>
      </c>
      <c r="R17" s="100">
        <f t="shared" si="2"/>
        <v>767.50000000000011</v>
      </c>
      <c r="T17" s="11" t="s">
        <v>125</v>
      </c>
      <c r="U17" s="88">
        <v>0.28428908934707903</v>
      </c>
      <c r="V17" s="88">
        <v>0.31600085910652925</v>
      </c>
      <c r="W17" s="88">
        <v>0.34771262886597942</v>
      </c>
      <c r="X17" s="88">
        <v>0.37942439862542965</v>
      </c>
      <c r="AB17" s="23" t="s">
        <v>23</v>
      </c>
      <c r="AC17" s="86" t="s">
        <v>126</v>
      </c>
      <c r="AD17" s="30">
        <v>0.9</v>
      </c>
      <c r="AE17" s="110">
        <v>1</v>
      </c>
      <c r="AG17" s="98" t="s">
        <v>23</v>
      </c>
      <c r="AH17" s="113" t="s">
        <v>126</v>
      </c>
      <c r="AI17" s="112">
        <v>0.8949880668257757</v>
      </c>
      <c r="AL17" s="14" t="s">
        <v>26</v>
      </c>
      <c r="AM17" s="21">
        <v>1.0926032293062735</v>
      </c>
    </row>
    <row r="18" spans="2:39" x14ac:dyDescent="0.25">
      <c r="B18" s="3" t="s">
        <v>75</v>
      </c>
      <c r="C18" s="4"/>
      <c r="D18" s="5"/>
      <c r="E18" s="79"/>
      <c r="F18" s="5">
        <v>1.04</v>
      </c>
      <c r="G18" s="5" t="s">
        <v>67</v>
      </c>
      <c r="H18" s="79"/>
      <c r="I18" s="5">
        <v>244</v>
      </c>
      <c r="J18" s="5"/>
      <c r="K18" s="5">
        <v>235</v>
      </c>
      <c r="M18" s="103" t="s">
        <v>76</v>
      </c>
      <c r="N18" s="101">
        <v>42.2</v>
      </c>
      <c r="O18" s="101">
        <v>56.400000000000006</v>
      </c>
      <c r="P18" s="101">
        <v>70.600000000000009</v>
      </c>
      <c r="Q18" s="101">
        <v>84.800000000000011</v>
      </c>
      <c r="R18" s="100">
        <f t="shared" si="2"/>
        <v>254.00000000000003</v>
      </c>
      <c r="T18" s="11" t="s">
        <v>127</v>
      </c>
      <c r="U18" s="88">
        <v>0.26804123711340205</v>
      </c>
      <c r="V18" s="88">
        <v>0.30670103092783507</v>
      </c>
      <c r="W18" s="88">
        <v>0.32989690721649484</v>
      </c>
      <c r="X18" s="88">
        <v>0.32989690721649484</v>
      </c>
      <c r="Y18" s="19">
        <f>X18/X17</f>
        <v>0.86946677233103109</v>
      </c>
      <c r="AB18" s="23" t="s">
        <v>73</v>
      </c>
      <c r="AC18" s="86" t="s">
        <v>128</v>
      </c>
      <c r="AD18" s="30">
        <v>0.9</v>
      </c>
      <c r="AE18" s="110">
        <v>1</v>
      </c>
      <c r="AG18" s="98" t="s">
        <v>73</v>
      </c>
      <c r="AH18" s="113" t="s">
        <v>128</v>
      </c>
      <c r="AI18" s="112">
        <v>1</v>
      </c>
      <c r="AL18" s="14" t="s">
        <v>27</v>
      </c>
      <c r="AM18" s="21"/>
    </row>
    <row r="19" spans="2:39" x14ac:dyDescent="0.25">
      <c r="B19" s="3" t="s">
        <v>77</v>
      </c>
      <c r="C19" s="4"/>
      <c r="D19" s="5"/>
      <c r="E19" s="79"/>
      <c r="F19" s="5"/>
      <c r="G19" s="5">
        <v>0.82</v>
      </c>
      <c r="H19" s="79"/>
      <c r="I19" s="5"/>
      <c r="J19" s="5">
        <v>100</v>
      </c>
      <c r="K19" s="5">
        <v>123</v>
      </c>
      <c r="AB19" s="23" t="s">
        <v>20</v>
      </c>
      <c r="AC19" s="86" t="s">
        <v>129</v>
      </c>
      <c r="AD19" s="30">
        <v>0.9</v>
      </c>
      <c r="AE19" s="110">
        <v>1</v>
      </c>
      <c r="AG19" s="98" t="s">
        <v>84</v>
      </c>
      <c r="AH19" s="114" t="s">
        <v>130</v>
      </c>
      <c r="AI19" s="112">
        <v>3.5587188612099642E-3</v>
      </c>
      <c r="AL19" s="14" t="s">
        <v>78</v>
      </c>
      <c r="AM19" s="21"/>
    </row>
    <row r="20" spans="2:39" x14ac:dyDescent="0.25">
      <c r="B20" s="3" t="s">
        <v>79</v>
      </c>
      <c r="C20" s="4"/>
      <c r="D20" s="4">
        <v>30934</v>
      </c>
      <c r="E20" s="79"/>
      <c r="F20" s="5">
        <v>2.09</v>
      </c>
      <c r="G20" s="5">
        <v>2.73</v>
      </c>
      <c r="H20" s="79">
        <f t="shared" si="1"/>
        <v>1.3062200956937799</v>
      </c>
      <c r="I20" s="5">
        <v>391</v>
      </c>
      <c r="J20" s="5">
        <v>511</v>
      </c>
      <c r="K20" s="5">
        <v>187</v>
      </c>
      <c r="AB20" s="23" t="s">
        <v>74</v>
      </c>
      <c r="AC20" s="86" t="s">
        <v>131</v>
      </c>
      <c r="AD20" s="30">
        <v>0.9</v>
      </c>
      <c r="AE20" s="110">
        <v>0.89393939393939392</v>
      </c>
      <c r="AG20" s="98" t="s">
        <v>20</v>
      </c>
      <c r="AH20" s="113" t="s">
        <v>129</v>
      </c>
      <c r="AI20" s="112">
        <v>0.97774244833068358</v>
      </c>
    </row>
    <row r="21" spans="2:39" x14ac:dyDescent="0.25">
      <c r="B21" s="3" t="s">
        <v>80</v>
      </c>
      <c r="C21" s="4"/>
      <c r="D21" s="5"/>
      <c r="E21" s="79"/>
      <c r="F21" s="5">
        <v>2.06</v>
      </c>
      <c r="G21" s="5" t="s">
        <v>67</v>
      </c>
      <c r="H21" s="79"/>
      <c r="I21" s="5">
        <v>151</v>
      </c>
      <c r="J21" s="5"/>
      <c r="K21" s="5">
        <v>73</v>
      </c>
      <c r="M21">
        <v>1</v>
      </c>
      <c r="N21" s="104">
        <v>2</v>
      </c>
      <c r="O21" s="104">
        <v>3</v>
      </c>
      <c r="P21" s="104">
        <v>4</v>
      </c>
      <c r="Q21" s="104">
        <v>5</v>
      </c>
      <c r="R21" s="104">
        <v>6</v>
      </c>
      <c r="S21" s="104">
        <v>7</v>
      </c>
      <c r="AB21" s="23" t="s">
        <v>21</v>
      </c>
      <c r="AC21" s="86" t="s">
        <v>132</v>
      </c>
      <c r="AD21" s="30">
        <v>0.9</v>
      </c>
      <c r="AE21" s="110">
        <v>1</v>
      </c>
      <c r="AG21" s="98" t="s">
        <v>74</v>
      </c>
      <c r="AH21" s="113" t="s">
        <v>131</v>
      </c>
      <c r="AI21" s="112">
        <v>0.58857142857142852</v>
      </c>
    </row>
    <row r="22" spans="2:39" x14ac:dyDescent="0.25">
      <c r="B22" s="3" t="s">
        <v>76</v>
      </c>
      <c r="C22" s="4">
        <v>51858</v>
      </c>
      <c r="D22" s="4">
        <v>108093</v>
      </c>
      <c r="E22" s="79">
        <f t="shared" si="0"/>
        <v>2.0844035635774616</v>
      </c>
      <c r="F22" s="5">
        <v>1.04</v>
      </c>
      <c r="G22" s="5">
        <v>1.06</v>
      </c>
      <c r="H22" s="79">
        <f t="shared" si="1"/>
        <v>1.0192307692307692</v>
      </c>
      <c r="I22" s="4">
        <v>4361</v>
      </c>
      <c r="J22" s="4">
        <v>4424</v>
      </c>
      <c r="K22" s="4">
        <v>4192</v>
      </c>
      <c r="M22" s="102" t="s">
        <v>34</v>
      </c>
      <c r="N22" s="20" t="s">
        <v>55</v>
      </c>
      <c r="O22" s="20" t="s">
        <v>56</v>
      </c>
      <c r="P22" s="20" t="s">
        <v>106</v>
      </c>
      <c r="Q22" s="20" t="s">
        <v>107</v>
      </c>
      <c r="R22" s="20" t="s">
        <v>108</v>
      </c>
      <c r="S22" s="20" t="s">
        <v>57</v>
      </c>
      <c r="U22" s="102" t="s">
        <v>34</v>
      </c>
      <c r="V22" s="20" t="s">
        <v>55</v>
      </c>
      <c r="W22" s="20" t="s">
        <v>56</v>
      </c>
      <c r="X22" s="20" t="s">
        <v>106</v>
      </c>
      <c r="Y22" s="20" t="s">
        <v>107</v>
      </c>
      <c r="Z22" s="20" t="s">
        <v>108</v>
      </c>
      <c r="AB22" s="23" t="s">
        <v>17</v>
      </c>
      <c r="AC22" s="86" t="s">
        <v>133</v>
      </c>
      <c r="AD22" s="30">
        <v>0.9</v>
      </c>
      <c r="AE22" s="110">
        <v>1</v>
      </c>
      <c r="AG22" s="98" t="s">
        <v>21</v>
      </c>
      <c r="AH22" s="113" t="s">
        <v>132</v>
      </c>
      <c r="AI22" s="112">
        <v>0.92890995260663511</v>
      </c>
    </row>
    <row r="23" spans="2:39" x14ac:dyDescent="0.25">
      <c r="B23" s="3" t="s">
        <v>17</v>
      </c>
      <c r="C23" s="4">
        <v>1219414</v>
      </c>
      <c r="D23" s="4">
        <v>1097794</v>
      </c>
      <c r="E23" s="79">
        <f t="shared" si="0"/>
        <v>0.90026356922259376</v>
      </c>
      <c r="F23" s="5">
        <v>0.8</v>
      </c>
      <c r="G23" s="5">
        <v>0.8</v>
      </c>
      <c r="H23" s="79">
        <f t="shared" si="1"/>
        <v>1</v>
      </c>
      <c r="I23" s="4">
        <v>10564</v>
      </c>
      <c r="J23" s="4">
        <v>10667</v>
      </c>
      <c r="K23" s="4">
        <v>13255</v>
      </c>
      <c r="M23" s="103" t="s">
        <v>16</v>
      </c>
      <c r="N23" s="23">
        <v>509</v>
      </c>
      <c r="O23" s="23">
        <v>677</v>
      </c>
      <c r="P23" s="23">
        <v>905</v>
      </c>
      <c r="Q23" s="23">
        <v>1203</v>
      </c>
      <c r="R23" s="23">
        <f>SUM(N23:Q23)</f>
        <v>3294</v>
      </c>
      <c r="S23" s="27">
        <f>R23/R5</f>
        <v>1.4880289113085379</v>
      </c>
      <c r="U23" s="103" t="s">
        <v>76</v>
      </c>
      <c r="V23" s="101">
        <v>42.2</v>
      </c>
      <c r="W23" s="101">
        <v>56.400000000000006</v>
      </c>
      <c r="X23" s="101">
        <v>70.600000000000009</v>
      </c>
      <c r="Y23" s="101">
        <v>84.800000000000011</v>
      </c>
      <c r="Z23" s="100">
        <f>SUM(V23:Y23)</f>
        <v>254.00000000000003</v>
      </c>
      <c r="AB23" s="23" t="s">
        <v>25</v>
      </c>
      <c r="AC23" s="86" t="s">
        <v>134</v>
      </c>
      <c r="AD23" s="30">
        <v>0.9</v>
      </c>
      <c r="AE23" s="110">
        <v>0.84</v>
      </c>
      <c r="AG23" s="98" t="s">
        <v>17</v>
      </c>
      <c r="AH23" s="113" t="s">
        <v>133</v>
      </c>
      <c r="AI23" s="112">
        <v>1</v>
      </c>
    </row>
    <row r="24" spans="2:39" x14ac:dyDescent="0.25">
      <c r="B24" s="2" t="s">
        <v>23</v>
      </c>
      <c r="C24" s="4">
        <v>839105</v>
      </c>
      <c r="D24" s="4">
        <v>1055311</v>
      </c>
      <c r="E24" s="79">
        <f t="shared" si="0"/>
        <v>1.2576626286340804</v>
      </c>
      <c r="F24" s="5">
        <v>1.39</v>
      </c>
      <c r="G24" s="5">
        <v>1.37</v>
      </c>
      <c r="H24" s="79">
        <f t="shared" si="1"/>
        <v>0.98561151079136711</v>
      </c>
      <c r="I24" s="4">
        <v>7308</v>
      </c>
      <c r="J24" s="4">
        <v>7188</v>
      </c>
      <c r="K24" s="4">
        <v>5250</v>
      </c>
      <c r="M24" s="103" t="s">
        <v>15</v>
      </c>
      <c r="N24" s="23">
        <v>927</v>
      </c>
      <c r="O24" s="23">
        <v>1087</v>
      </c>
      <c r="P24" s="23">
        <v>1270</v>
      </c>
      <c r="Q24" s="23">
        <v>1513</v>
      </c>
      <c r="R24" s="23">
        <f t="shared" ref="R24:R36" si="5">SUM(N24:Q24)</f>
        <v>4797</v>
      </c>
      <c r="S24" s="27">
        <f t="shared" ref="S24:S36" si="6">R24/R6</f>
        <v>1.1881727643325248</v>
      </c>
      <c r="U24" s="103" t="s">
        <v>66</v>
      </c>
      <c r="V24" s="101">
        <v>1.7458333333333333</v>
      </c>
      <c r="W24" s="101">
        <v>3.4916666666666667</v>
      </c>
      <c r="X24" s="101">
        <v>5.2374999999999998</v>
      </c>
      <c r="Y24" s="101">
        <v>6.9833333333333334</v>
      </c>
      <c r="Z24" s="100">
        <f t="shared" ref="Z24:Z29" si="7">SUM(V24:Y24)</f>
        <v>17.458333333333332</v>
      </c>
      <c r="AB24" s="23" t="s">
        <v>22</v>
      </c>
      <c r="AC24" s="86" t="s">
        <v>135</v>
      </c>
      <c r="AD24" s="30">
        <v>0.9</v>
      </c>
      <c r="AE24" s="110">
        <v>1</v>
      </c>
      <c r="AG24" s="98" t="s">
        <v>25</v>
      </c>
      <c r="AH24" s="113" t="s">
        <v>134</v>
      </c>
      <c r="AI24" s="112">
        <v>0.98919308357348701</v>
      </c>
    </row>
    <row r="25" spans="2:39" x14ac:dyDescent="0.25">
      <c r="B25" s="2" t="s">
        <v>19</v>
      </c>
      <c r="C25" s="4">
        <v>715634</v>
      </c>
      <c r="D25" s="4">
        <v>736938</v>
      </c>
      <c r="E25" s="79">
        <f t="shared" si="0"/>
        <v>1.0297694072668431</v>
      </c>
      <c r="F25" s="5">
        <v>1.01</v>
      </c>
      <c r="G25" s="5">
        <v>0.93</v>
      </c>
      <c r="H25" s="79">
        <f t="shared" si="1"/>
        <v>0.92079207920792083</v>
      </c>
      <c r="I25" s="4">
        <v>5470</v>
      </c>
      <c r="J25" s="4">
        <v>5013</v>
      </c>
      <c r="K25" s="4">
        <v>5391</v>
      </c>
      <c r="M25" s="103" t="s">
        <v>18</v>
      </c>
      <c r="N25" s="23">
        <v>1943</v>
      </c>
      <c r="O25" s="23">
        <v>2108</v>
      </c>
      <c r="P25" s="23">
        <v>2213</v>
      </c>
      <c r="Q25" s="23">
        <v>2293</v>
      </c>
      <c r="R25" s="23">
        <f t="shared" si="5"/>
        <v>8557</v>
      </c>
      <c r="S25" s="27">
        <f t="shared" si="6"/>
        <v>1.0528938585293077</v>
      </c>
      <c r="U25" s="103" t="s">
        <v>70</v>
      </c>
      <c r="V25" s="101">
        <v>1.125</v>
      </c>
      <c r="W25" s="101">
        <v>2.25</v>
      </c>
      <c r="X25" s="101">
        <v>3.375</v>
      </c>
      <c r="Y25" s="101">
        <v>4.5</v>
      </c>
      <c r="Z25" s="100">
        <f t="shared" si="7"/>
        <v>11.25</v>
      </c>
      <c r="AB25" s="23" t="s">
        <v>77</v>
      </c>
      <c r="AC25" s="86" t="s">
        <v>136</v>
      </c>
      <c r="AD25" s="30">
        <v>0.9</v>
      </c>
      <c r="AE25" s="110">
        <v>0.6</v>
      </c>
      <c r="AG25" s="98" t="s">
        <v>22</v>
      </c>
      <c r="AH25" s="113" t="s">
        <v>135</v>
      </c>
      <c r="AI25" s="112">
        <v>1</v>
      </c>
    </row>
    <row r="26" spans="2:39" x14ac:dyDescent="0.25">
      <c r="B26" s="2" t="s">
        <v>20</v>
      </c>
      <c r="C26" s="4">
        <v>839768</v>
      </c>
      <c r="D26" s="4">
        <v>927163</v>
      </c>
      <c r="E26" s="79">
        <f t="shared" si="0"/>
        <v>1.1040704099227405</v>
      </c>
      <c r="F26" s="5">
        <v>1.1599999999999999</v>
      </c>
      <c r="G26" s="5">
        <v>1.19</v>
      </c>
      <c r="H26" s="79">
        <f t="shared" si="1"/>
        <v>1.0258620689655173</v>
      </c>
      <c r="I26" s="4">
        <v>6904</v>
      </c>
      <c r="J26" s="4">
        <v>7079</v>
      </c>
      <c r="K26" s="4">
        <v>5934</v>
      </c>
      <c r="M26" s="103" t="s">
        <v>13</v>
      </c>
      <c r="N26" s="23">
        <v>4904</v>
      </c>
      <c r="O26" s="23">
        <v>5324</v>
      </c>
      <c r="P26" s="23">
        <v>5807</v>
      </c>
      <c r="Q26" s="23">
        <v>6100</v>
      </c>
      <c r="R26" s="23">
        <f t="shared" si="5"/>
        <v>22135</v>
      </c>
      <c r="S26" s="27">
        <f t="shared" si="6"/>
        <v>1.0329379739451685</v>
      </c>
      <c r="U26" s="103" t="s">
        <v>71</v>
      </c>
      <c r="V26" s="101">
        <v>1.0833333333333333</v>
      </c>
      <c r="W26" s="101">
        <v>1.1666666666666665</v>
      </c>
      <c r="X26" s="101">
        <v>1.2499999999999998</v>
      </c>
      <c r="Y26" s="101">
        <v>1.333333333333333</v>
      </c>
      <c r="Z26" s="100">
        <f t="shared" si="7"/>
        <v>4.833333333333333</v>
      </c>
      <c r="AB26" s="23" t="s">
        <v>79</v>
      </c>
      <c r="AC26" s="86" t="s">
        <v>137</v>
      </c>
      <c r="AD26" s="30">
        <v>0.9</v>
      </c>
      <c r="AE26" s="110">
        <v>1</v>
      </c>
      <c r="AG26" s="98" t="s">
        <v>77</v>
      </c>
      <c r="AH26" s="113" t="s">
        <v>136</v>
      </c>
      <c r="AI26" s="112">
        <v>0.2847058823529412</v>
      </c>
    </row>
    <row r="27" spans="2:39" x14ac:dyDescent="0.25">
      <c r="B27" s="2" t="s">
        <v>21</v>
      </c>
      <c r="C27" s="4">
        <v>287298</v>
      </c>
      <c r="D27" s="4">
        <v>329937</v>
      </c>
      <c r="E27" s="79">
        <f t="shared" si="0"/>
        <v>1.1484138420733871</v>
      </c>
      <c r="F27" s="5">
        <v>0.92</v>
      </c>
      <c r="G27" s="5">
        <v>1.03</v>
      </c>
      <c r="H27" s="79">
        <f t="shared" si="1"/>
        <v>1.1195652173913044</v>
      </c>
      <c r="I27" s="4">
        <v>2216</v>
      </c>
      <c r="J27" s="4">
        <v>2482</v>
      </c>
      <c r="K27" s="4">
        <v>2413</v>
      </c>
      <c r="M27" s="103" t="s">
        <v>14</v>
      </c>
      <c r="N27" s="23">
        <v>1734</v>
      </c>
      <c r="O27" s="23">
        <v>1801</v>
      </c>
      <c r="P27" s="23">
        <v>1891</v>
      </c>
      <c r="Q27" s="23">
        <v>1967</v>
      </c>
      <c r="R27" s="23">
        <f t="shared" si="5"/>
        <v>7393</v>
      </c>
      <c r="S27" s="27">
        <f t="shared" si="6"/>
        <v>0.96329707414638166</v>
      </c>
      <c r="U27" s="103" t="s">
        <v>72</v>
      </c>
      <c r="V27" s="101">
        <v>0.48750000000000004</v>
      </c>
      <c r="W27" s="101">
        <v>0.97500000000000009</v>
      </c>
      <c r="X27" s="101">
        <v>1.4625000000000001</v>
      </c>
      <c r="Y27" s="101">
        <v>1.9500000000000002</v>
      </c>
      <c r="Z27" s="100">
        <f t="shared" si="7"/>
        <v>4.875</v>
      </c>
      <c r="AB27" s="23" t="s">
        <v>75</v>
      </c>
      <c r="AC27" s="86" t="s">
        <v>138</v>
      </c>
      <c r="AD27" s="30">
        <v>0.9</v>
      </c>
      <c r="AE27" s="110">
        <v>1</v>
      </c>
      <c r="AG27" s="98" t="s">
        <v>79</v>
      </c>
      <c r="AH27" s="114" t="s">
        <v>137</v>
      </c>
      <c r="AI27" s="112">
        <v>0.21100917431192662</v>
      </c>
    </row>
    <row r="28" spans="2:39" x14ac:dyDescent="0.25">
      <c r="B28" s="3" t="s">
        <v>81</v>
      </c>
      <c r="C28" s="4">
        <v>98878</v>
      </c>
      <c r="D28" s="4">
        <v>93056</v>
      </c>
      <c r="E28" s="79">
        <f t="shared" si="0"/>
        <v>0.94111935921034007</v>
      </c>
      <c r="F28" s="5" t="s">
        <v>67</v>
      </c>
      <c r="G28" s="5" t="s">
        <v>67</v>
      </c>
      <c r="H28" s="79"/>
      <c r="I28" s="5" t="s">
        <v>67</v>
      </c>
      <c r="J28" s="5" t="s">
        <v>67</v>
      </c>
      <c r="K28" s="5">
        <v>634</v>
      </c>
      <c r="M28" s="103" t="s">
        <v>17</v>
      </c>
      <c r="N28" s="23">
        <v>442</v>
      </c>
      <c r="O28" s="23">
        <v>495</v>
      </c>
      <c r="P28" s="23">
        <v>566</v>
      </c>
      <c r="Q28" s="23">
        <v>626</v>
      </c>
      <c r="R28" s="23">
        <f t="shared" si="5"/>
        <v>2129</v>
      </c>
      <c r="S28" s="27">
        <f t="shared" si="6"/>
        <v>1.1805914972273566</v>
      </c>
      <c r="U28" s="103" t="s">
        <v>75</v>
      </c>
      <c r="V28" s="101">
        <v>2.291666666666667</v>
      </c>
      <c r="W28" s="101">
        <v>4.5833333333333339</v>
      </c>
      <c r="X28" s="101">
        <v>6.8750000000000009</v>
      </c>
      <c r="Y28" s="101">
        <v>9.1666666666666679</v>
      </c>
      <c r="Z28" s="100">
        <f t="shared" si="7"/>
        <v>22.916666666666671</v>
      </c>
      <c r="AB28" s="23" t="s">
        <v>76</v>
      </c>
      <c r="AC28" s="86" t="s">
        <v>139</v>
      </c>
      <c r="AD28" s="30">
        <v>0.9</v>
      </c>
      <c r="AE28" s="110">
        <v>0.96969696969696972</v>
      </c>
      <c r="AG28" s="98" t="s">
        <v>75</v>
      </c>
      <c r="AH28" s="114" t="s">
        <v>138</v>
      </c>
      <c r="AI28" s="112">
        <v>1</v>
      </c>
    </row>
    <row r="29" spans="2:39" x14ac:dyDescent="0.25">
      <c r="B29" s="3" t="s">
        <v>82</v>
      </c>
      <c r="C29" s="4">
        <v>33542</v>
      </c>
      <c r="D29" s="4">
        <v>40836</v>
      </c>
      <c r="E29" s="79">
        <f t="shared" si="0"/>
        <v>1.2174587084848847</v>
      </c>
      <c r="F29" s="5" t="s">
        <v>67</v>
      </c>
      <c r="G29" s="5" t="s">
        <v>67</v>
      </c>
      <c r="H29" s="79"/>
      <c r="I29" s="5" t="s">
        <v>67</v>
      </c>
      <c r="J29" s="5" t="s">
        <v>67</v>
      </c>
      <c r="K29" s="5">
        <v>152</v>
      </c>
      <c r="M29" s="103" t="s">
        <v>26</v>
      </c>
      <c r="N29" s="23">
        <v>471</v>
      </c>
      <c r="O29" s="23">
        <v>480</v>
      </c>
      <c r="P29" s="23">
        <v>487</v>
      </c>
      <c r="Q29" s="23">
        <v>491</v>
      </c>
      <c r="R29" s="23">
        <f t="shared" si="5"/>
        <v>1929</v>
      </c>
      <c r="S29" s="27">
        <f t="shared" si="6"/>
        <v>0.96067730489095471</v>
      </c>
      <c r="U29" s="103" t="s">
        <v>77</v>
      </c>
      <c r="V29" s="101">
        <v>0.67083333333333339</v>
      </c>
      <c r="W29" s="101">
        <v>1.3416666666666668</v>
      </c>
      <c r="X29" s="101">
        <v>2.0125000000000002</v>
      </c>
      <c r="Y29" s="101">
        <v>2.6833333333333336</v>
      </c>
      <c r="Z29" s="100">
        <f t="shared" si="7"/>
        <v>6.7083333333333339</v>
      </c>
      <c r="AB29" s="23" t="s">
        <v>18</v>
      </c>
      <c r="AC29" s="86" t="s">
        <v>140</v>
      </c>
      <c r="AD29" s="30">
        <v>0.9</v>
      </c>
      <c r="AE29" s="110">
        <v>0.90604575163398693</v>
      </c>
      <c r="AG29" s="98" t="s">
        <v>76</v>
      </c>
      <c r="AH29" s="114" t="s">
        <v>139</v>
      </c>
      <c r="AI29" s="112">
        <v>1</v>
      </c>
    </row>
    <row r="30" spans="2:39" x14ac:dyDescent="0.25">
      <c r="B30" s="3" t="s">
        <v>83</v>
      </c>
      <c r="C30" s="4">
        <v>99691</v>
      </c>
      <c r="D30" s="4">
        <v>97601</v>
      </c>
      <c r="E30" s="79">
        <f t="shared" si="0"/>
        <v>0.97903521882617284</v>
      </c>
      <c r="F30" s="5" t="s">
        <v>67</v>
      </c>
      <c r="G30" s="5" t="s">
        <v>67</v>
      </c>
      <c r="H30" s="79"/>
      <c r="I30" s="5" t="s">
        <v>67</v>
      </c>
      <c r="J30" s="5" t="s">
        <v>67</v>
      </c>
      <c r="K30" s="5">
        <v>747</v>
      </c>
      <c r="M30" s="103" t="s">
        <v>25</v>
      </c>
      <c r="N30" s="23">
        <v>336</v>
      </c>
      <c r="O30" s="23">
        <v>360</v>
      </c>
      <c r="P30" s="23">
        <v>407</v>
      </c>
      <c r="Q30" s="23">
        <v>434</v>
      </c>
      <c r="R30" s="23">
        <f t="shared" si="5"/>
        <v>1537</v>
      </c>
      <c r="S30" s="27">
        <f t="shared" si="6"/>
        <v>1.0406228842247798</v>
      </c>
      <c r="AG30" s="98" t="s">
        <v>18</v>
      </c>
      <c r="AH30" s="114" t="s">
        <v>140</v>
      </c>
      <c r="AI30" s="112">
        <v>0.90638810767376454</v>
      </c>
    </row>
    <row r="31" spans="2:39" x14ac:dyDescent="0.25">
      <c r="B31" s="3" t="s">
        <v>22</v>
      </c>
      <c r="C31" s="4">
        <v>1139939</v>
      </c>
      <c r="D31" s="4">
        <v>1120886</v>
      </c>
      <c r="E31" s="79">
        <f t="shared" si="0"/>
        <v>0.98328594775685363</v>
      </c>
      <c r="F31" s="5">
        <v>1.51</v>
      </c>
      <c r="G31" s="5">
        <v>1.43</v>
      </c>
      <c r="H31" s="79">
        <f t="shared" si="1"/>
        <v>0.94701986754966883</v>
      </c>
      <c r="I31" s="4">
        <v>9271</v>
      </c>
      <c r="J31" s="4">
        <v>8821</v>
      </c>
      <c r="K31" s="4">
        <v>6160</v>
      </c>
      <c r="M31" s="103" t="s">
        <v>21</v>
      </c>
      <c r="N31" s="23">
        <v>88</v>
      </c>
      <c r="O31" s="23">
        <v>90</v>
      </c>
      <c r="P31" s="23">
        <v>90</v>
      </c>
      <c r="Q31" s="23">
        <v>94</v>
      </c>
      <c r="R31" s="23">
        <f t="shared" si="5"/>
        <v>362</v>
      </c>
      <c r="S31" s="27">
        <f t="shared" si="6"/>
        <v>0.89548546691403852</v>
      </c>
      <c r="U31" s="102" t="s">
        <v>34</v>
      </c>
      <c r="V31" s="20" t="s">
        <v>55</v>
      </c>
      <c r="W31" s="20" t="s">
        <v>56</v>
      </c>
      <c r="X31" s="20" t="s">
        <v>106</v>
      </c>
      <c r="Y31" s="20" t="s">
        <v>107</v>
      </c>
      <c r="Z31" s="20" t="s">
        <v>108</v>
      </c>
      <c r="AB31" s="11" t="s">
        <v>78</v>
      </c>
      <c r="AC31" s="1">
        <v>0.9</v>
      </c>
      <c r="AD31" s="122">
        <f>(AE7+AE20+AE26)/3</f>
        <v>0.77417027417027418</v>
      </c>
      <c r="AE31" s="88"/>
      <c r="AG31" s="11" t="s">
        <v>78</v>
      </c>
      <c r="AI31" s="84">
        <f>(AI7+AI21+AI27)/3</f>
        <v>0.30126741292242004</v>
      </c>
    </row>
    <row r="32" spans="2:39" x14ac:dyDescent="0.25">
      <c r="B32" s="3" t="s">
        <v>84</v>
      </c>
      <c r="C32" s="4">
        <v>121350</v>
      </c>
      <c r="D32" s="4">
        <v>126221</v>
      </c>
      <c r="E32" s="79">
        <f t="shared" si="0"/>
        <v>1.0401400906468892</v>
      </c>
      <c r="F32" s="5">
        <v>0.51</v>
      </c>
      <c r="G32" s="5" t="s">
        <v>67</v>
      </c>
      <c r="H32" s="79"/>
      <c r="I32" s="5">
        <v>522</v>
      </c>
      <c r="J32" s="5" t="s">
        <v>67</v>
      </c>
      <c r="K32" s="4">
        <v>1028</v>
      </c>
      <c r="M32" s="103" t="s">
        <v>19</v>
      </c>
      <c r="N32" s="23">
        <v>178</v>
      </c>
      <c r="O32" s="23">
        <v>201</v>
      </c>
      <c r="P32" s="23">
        <v>219</v>
      </c>
      <c r="Q32" s="23">
        <v>234</v>
      </c>
      <c r="R32" s="23">
        <f t="shared" si="5"/>
        <v>832</v>
      </c>
      <c r="S32" s="27">
        <f t="shared" si="6"/>
        <v>1.0242626314439602</v>
      </c>
      <c r="U32" s="103" t="s">
        <v>76</v>
      </c>
      <c r="V32" s="101">
        <v>44</v>
      </c>
      <c r="W32" s="101">
        <v>67</v>
      </c>
      <c r="X32" s="101">
        <v>82</v>
      </c>
      <c r="Y32" s="101">
        <v>102</v>
      </c>
      <c r="Z32" s="100">
        <f t="shared" ref="Z32:Z37" si="8">SUM(V32:Y32)</f>
        <v>295</v>
      </c>
      <c r="AB32" s="11" t="s">
        <v>27</v>
      </c>
      <c r="AC32" s="1">
        <v>0.9</v>
      </c>
      <c r="AD32" s="123">
        <f>(AE5+AE6+AE8+AE13+AE16+AE18+AE25+AE27+AE28)/9</f>
        <v>0.95218855218855225</v>
      </c>
      <c r="AE32" s="88"/>
      <c r="AG32" s="11" t="s">
        <v>27</v>
      </c>
      <c r="AI32" s="84">
        <f>(AI4+AI6+AI13+AI16+AI18+AI26+AI28+AI29)/8</f>
        <v>0.72184397059681471</v>
      </c>
    </row>
    <row r="33" spans="2:26" x14ac:dyDescent="0.25">
      <c r="B33" s="3" t="s">
        <v>14</v>
      </c>
      <c r="C33" s="4">
        <v>954157</v>
      </c>
      <c r="D33" s="4">
        <v>816571</v>
      </c>
      <c r="E33" s="79">
        <f t="shared" si="0"/>
        <v>0.85580360464787242</v>
      </c>
      <c r="F33" s="5">
        <v>0.86</v>
      </c>
      <c r="G33" s="5">
        <v>0.86</v>
      </c>
      <c r="H33" s="79">
        <f t="shared" si="1"/>
        <v>1</v>
      </c>
      <c r="I33" s="4">
        <v>23664</v>
      </c>
      <c r="J33" s="4">
        <v>23908</v>
      </c>
      <c r="K33" s="4">
        <v>27658</v>
      </c>
      <c r="M33" s="103" t="s">
        <v>23</v>
      </c>
      <c r="N33" s="23">
        <v>91</v>
      </c>
      <c r="O33" s="23">
        <v>97</v>
      </c>
      <c r="P33" s="23">
        <v>107</v>
      </c>
      <c r="Q33" s="23">
        <v>139</v>
      </c>
      <c r="R33" s="23">
        <f t="shared" si="5"/>
        <v>434</v>
      </c>
      <c r="S33" s="27">
        <f t="shared" si="6"/>
        <v>0.83334666773341859</v>
      </c>
      <c r="U33" s="103" t="s">
        <v>66</v>
      </c>
      <c r="V33" s="101">
        <v>0</v>
      </c>
      <c r="W33" s="101">
        <v>0</v>
      </c>
      <c r="X33" s="101">
        <v>0</v>
      </c>
      <c r="Y33" s="101">
        <v>0</v>
      </c>
      <c r="Z33" s="100">
        <f t="shared" si="8"/>
        <v>0</v>
      </c>
    </row>
    <row r="34" spans="2:26" x14ac:dyDescent="0.25">
      <c r="B34" s="3" t="s">
        <v>15</v>
      </c>
      <c r="C34" s="4">
        <v>2209419</v>
      </c>
      <c r="D34" s="4">
        <v>2416855</v>
      </c>
      <c r="E34" s="79">
        <f t="shared" si="0"/>
        <v>1.0938871259819889</v>
      </c>
      <c r="F34" s="5">
        <v>1.32</v>
      </c>
      <c r="G34" s="5">
        <v>1.32</v>
      </c>
      <c r="H34" s="79">
        <f t="shared" si="1"/>
        <v>1</v>
      </c>
      <c r="I34" s="4">
        <v>18840</v>
      </c>
      <c r="J34" s="4">
        <v>18895</v>
      </c>
      <c r="K34" s="4">
        <v>14320</v>
      </c>
      <c r="M34" s="103" t="s">
        <v>22</v>
      </c>
      <c r="N34" s="23">
        <v>414</v>
      </c>
      <c r="O34" s="23">
        <v>421</v>
      </c>
      <c r="P34" s="23">
        <v>438</v>
      </c>
      <c r="Q34" s="23">
        <v>462</v>
      </c>
      <c r="R34" s="23">
        <f t="shared" si="5"/>
        <v>1735</v>
      </c>
      <c r="S34" s="27">
        <f t="shared" si="6"/>
        <v>1.0096748381465046</v>
      </c>
      <c r="U34" s="103" t="s">
        <v>70</v>
      </c>
      <c r="V34" s="101">
        <v>0</v>
      </c>
      <c r="W34" s="101">
        <v>0</v>
      </c>
      <c r="X34" s="101">
        <v>0</v>
      </c>
      <c r="Y34" s="101">
        <v>0</v>
      </c>
      <c r="Z34" s="100">
        <f t="shared" si="8"/>
        <v>0</v>
      </c>
    </row>
    <row r="35" spans="2:26" x14ac:dyDescent="0.25">
      <c r="M35" s="103" t="s">
        <v>20</v>
      </c>
      <c r="N35" s="23">
        <v>177</v>
      </c>
      <c r="O35" s="23">
        <v>185</v>
      </c>
      <c r="P35" s="23">
        <v>191</v>
      </c>
      <c r="Q35" s="23">
        <v>197</v>
      </c>
      <c r="R35" s="23">
        <f t="shared" si="5"/>
        <v>750</v>
      </c>
      <c r="S35" s="27">
        <f t="shared" si="6"/>
        <v>0.97719869706840379</v>
      </c>
      <c r="U35" s="103" t="s">
        <v>71</v>
      </c>
      <c r="V35" s="101">
        <v>1</v>
      </c>
      <c r="W35" s="101">
        <v>1</v>
      </c>
      <c r="X35" s="101">
        <v>1</v>
      </c>
      <c r="Y35" s="101">
        <v>1</v>
      </c>
      <c r="Z35" s="100">
        <f t="shared" si="8"/>
        <v>4</v>
      </c>
    </row>
    <row r="36" spans="2:26" x14ac:dyDescent="0.25">
      <c r="B36" s="8" t="s">
        <v>78</v>
      </c>
      <c r="C36" s="81">
        <f>C11+C17+C20+C21</f>
        <v>20000</v>
      </c>
      <c r="D36" s="81">
        <f>D11+D17+D20+D21</f>
        <v>32428</v>
      </c>
      <c r="E36" s="82">
        <f>D36/C36</f>
        <v>1.6214</v>
      </c>
      <c r="F36" s="85">
        <f>I36/K36</f>
        <v>2.0824175824175826</v>
      </c>
      <c r="G36" s="85">
        <f>J36/K36</f>
        <v>2.1794871794871793</v>
      </c>
      <c r="H36" s="83">
        <f>G36/F36</f>
        <v>1.0466138962181177</v>
      </c>
      <c r="I36" s="81">
        <f>I11+I17+I20+I21</f>
        <v>3411</v>
      </c>
      <c r="J36" s="81">
        <f>J11+J17+J20+J21</f>
        <v>3570</v>
      </c>
      <c r="K36" s="81">
        <f>K11+K17+K20+K21</f>
        <v>1638</v>
      </c>
      <c r="M36" s="103" t="s">
        <v>76</v>
      </c>
      <c r="N36" s="23">
        <v>44</v>
      </c>
      <c r="O36" s="23">
        <v>67</v>
      </c>
      <c r="P36" s="23">
        <v>82</v>
      </c>
      <c r="Q36" s="23">
        <v>102</v>
      </c>
      <c r="R36" s="23">
        <f t="shared" si="5"/>
        <v>295</v>
      </c>
      <c r="S36" s="27">
        <f t="shared" si="6"/>
        <v>1.1614173228346456</v>
      </c>
      <c r="U36" s="103" t="s">
        <v>72</v>
      </c>
      <c r="V36" s="101">
        <v>0</v>
      </c>
      <c r="W36" s="101">
        <v>0</v>
      </c>
      <c r="X36" s="101">
        <v>0</v>
      </c>
      <c r="Y36" s="101">
        <v>0</v>
      </c>
      <c r="Z36" s="100">
        <f t="shared" si="8"/>
        <v>0</v>
      </c>
    </row>
    <row r="37" spans="2:26" x14ac:dyDescent="0.25">
      <c r="B37" s="8" t="s">
        <v>27</v>
      </c>
      <c r="C37" s="80">
        <f>C10+C12+C13+C14+C15+C16+C18+C19+C22</f>
        <v>51858</v>
      </c>
      <c r="D37" s="80">
        <f>D10+D12+D13+D14+D15+D16+D18+D19+D22</f>
        <v>108093</v>
      </c>
      <c r="E37" s="82">
        <f>D37/C37</f>
        <v>2.0844035635774616</v>
      </c>
      <c r="F37" s="85">
        <f>I37/K37</f>
        <v>1.0197648662463792</v>
      </c>
      <c r="G37" s="85">
        <f>J37/K37</f>
        <v>0.98193900153348102</v>
      </c>
      <c r="H37" s="84">
        <f>G37/F37</f>
        <v>0.96290726817042616</v>
      </c>
      <c r="I37" s="81">
        <f>I10+I12+I13+I14+I15+I16+I18+I19+I22</f>
        <v>5985</v>
      </c>
      <c r="J37" s="81">
        <f>J10+J12+J13+J14+J15+J16+J18+J19+J22</f>
        <v>5763</v>
      </c>
      <c r="K37" s="81">
        <f>K10+K12+K13+K14+K15+K16+K18+K19+K22</f>
        <v>5869</v>
      </c>
      <c r="U37" s="103" t="s">
        <v>75</v>
      </c>
      <c r="V37" s="101">
        <v>0</v>
      </c>
      <c r="W37" s="101">
        <v>0</v>
      </c>
      <c r="X37" s="101">
        <v>0</v>
      </c>
      <c r="Y37" s="101">
        <v>0</v>
      </c>
      <c r="Z37" s="100">
        <f t="shared" si="8"/>
        <v>0</v>
      </c>
    </row>
    <row r="38" spans="2:26" x14ac:dyDescent="0.25">
      <c r="U38" s="103" t="s">
        <v>77</v>
      </c>
      <c r="V38" s="101">
        <v>0</v>
      </c>
      <c r="W38" s="101">
        <v>0</v>
      </c>
      <c r="X38" s="101">
        <v>0</v>
      </c>
      <c r="Y38" s="101">
        <v>0</v>
      </c>
      <c r="Z38" s="100">
        <f>SUM(V38:Y38)</f>
        <v>0</v>
      </c>
    </row>
    <row r="40" spans="2:26" x14ac:dyDescent="0.25">
      <c r="B40" t="s">
        <v>141</v>
      </c>
    </row>
    <row r="41" spans="2:26" x14ac:dyDescent="0.25">
      <c r="B41">
        <v>1</v>
      </c>
      <c r="C41">
        <v>2</v>
      </c>
      <c r="D41">
        <v>3</v>
      </c>
      <c r="E41">
        <v>4</v>
      </c>
      <c r="U41" s="108" t="s">
        <v>76</v>
      </c>
      <c r="V41" s="105">
        <f>Z23</f>
        <v>254.00000000000003</v>
      </c>
      <c r="W41" s="105">
        <f>Z32</f>
        <v>295</v>
      </c>
      <c r="X41" s="88">
        <v>1.101010101010101</v>
      </c>
      <c r="Y41" s="88">
        <f>IF(X41&gt;=100%,75%,(X41*75%/100%))</f>
        <v>0.75</v>
      </c>
    </row>
    <row r="42" spans="2:26" x14ac:dyDescent="0.25">
      <c r="B42" s="20" t="s">
        <v>34</v>
      </c>
      <c r="C42" s="20" t="s">
        <v>11</v>
      </c>
      <c r="D42" s="20" t="s">
        <v>10</v>
      </c>
      <c r="E42" s="20" t="s">
        <v>142</v>
      </c>
      <c r="G42" s="93" t="s">
        <v>34</v>
      </c>
      <c r="H42" s="20" t="s">
        <v>143</v>
      </c>
      <c r="I42" s="20" t="s">
        <v>2</v>
      </c>
      <c r="J42" s="20" t="s">
        <v>144</v>
      </c>
      <c r="K42" s="20" t="s">
        <v>145</v>
      </c>
      <c r="L42" s="20" t="s">
        <v>3</v>
      </c>
      <c r="M42" s="20" t="s">
        <v>144</v>
      </c>
      <c r="U42" s="108" t="s">
        <v>146</v>
      </c>
      <c r="V42" s="105">
        <f>SUM(Z24:Z29)</f>
        <v>68.041666666666671</v>
      </c>
      <c r="W42" s="105">
        <f>SUM(Z33:Z38)</f>
        <v>4</v>
      </c>
      <c r="X42" s="88">
        <v>3.7570444583594237E-2</v>
      </c>
      <c r="Y42" s="88">
        <f>IF(X42&gt;=100%,25%,(X42*25%/100%))</f>
        <v>9.3926111458985592E-3</v>
      </c>
    </row>
    <row r="43" spans="2:26" x14ac:dyDescent="0.25">
      <c r="B43" s="86" t="s">
        <v>13</v>
      </c>
      <c r="C43" s="87">
        <f>VLOOKUP(B43,$B$3:$H$37,$H$2,FALSE)</f>
        <v>1.0606060606060606</v>
      </c>
      <c r="D43" s="87">
        <f>VLOOKUP(B43,$B$3:$H$37,$E$2,FALSE)</f>
        <v>1.037858502462635</v>
      </c>
      <c r="E43" s="21">
        <v>0.27027135195709595</v>
      </c>
      <c r="G43" s="89" t="s">
        <v>13</v>
      </c>
      <c r="H43" s="94">
        <f>VLOOKUP(G43,'OR Q1'!$J$4:$N$18,'OR Q1'!$K$3,FALSE)</f>
        <v>0.78</v>
      </c>
      <c r="I43" s="91">
        <v>0.79300000000000004</v>
      </c>
      <c r="J43" s="95">
        <f>I43/H43</f>
        <v>1.0166666666666666</v>
      </c>
      <c r="K43" s="21">
        <f>VLOOKUP(G43,'OR Q1'!$J$4:$N$18,'OR Q1'!$N$3,FALSE)</f>
        <v>0.92</v>
      </c>
      <c r="L43" s="91">
        <v>0.95799999999999996</v>
      </c>
      <c r="M43" s="95">
        <f>L43/K43</f>
        <v>1.0413043478260868</v>
      </c>
    </row>
    <row r="44" spans="2:26" x14ac:dyDescent="0.25">
      <c r="B44" s="86" t="s">
        <v>14</v>
      </c>
      <c r="C44" s="87">
        <f t="shared" ref="C44:C57" si="9">VLOOKUP(B44,$B$3:$H$37,$H$2,FALSE)</f>
        <v>1</v>
      </c>
      <c r="D44" s="87">
        <f t="shared" ref="D44:D57" si="10">VLOOKUP(B44,$B$3:$H$37,$E$2,FALSE)</f>
        <v>0.85580360464787242</v>
      </c>
      <c r="E44" s="21">
        <v>0.12557031937885216</v>
      </c>
      <c r="G44" s="89" t="s">
        <v>15</v>
      </c>
      <c r="H44" s="94">
        <f>VLOOKUP(G44,'OR Q1'!$J$4:$N$18,'OR Q1'!$K$3,FALSE)</f>
        <v>0.92</v>
      </c>
      <c r="I44" s="91">
        <v>0.94799999999999995</v>
      </c>
      <c r="J44" s="95">
        <f t="shared" ref="J44:J56" si="11">I44/H44</f>
        <v>1.0304347826086955</v>
      </c>
      <c r="K44" s="21">
        <f>VLOOKUP(G44,'OR Q1'!$J$4:$N$18,'OR Q1'!$N$3,FALSE)</f>
        <v>0.92</v>
      </c>
      <c r="L44" s="91">
        <v>0.93700000000000006</v>
      </c>
      <c r="M44" s="95">
        <f t="shared" ref="M44:M56" si="12">L44/K44</f>
        <v>1.0184782608695653</v>
      </c>
    </row>
    <row r="45" spans="2:26" x14ac:dyDescent="0.25">
      <c r="B45" s="86" t="s">
        <v>15</v>
      </c>
      <c r="C45" s="87">
        <f t="shared" si="9"/>
        <v>1</v>
      </c>
      <c r="D45" s="87">
        <f t="shared" si="10"/>
        <v>1.0938871259819889</v>
      </c>
      <c r="E45" s="21">
        <v>0.13185383814936363</v>
      </c>
      <c r="G45" s="89" t="s">
        <v>16</v>
      </c>
      <c r="H45" s="94">
        <f>VLOOKUP(G45,'OR Q1'!$J$4:$N$18,'OR Q1'!$K$3,FALSE)</f>
        <v>0.85</v>
      </c>
      <c r="I45" s="91">
        <v>0.86299999999999999</v>
      </c>
      <c r="J45" s="95">
        <f t="shared" si="11"/>
        <v>1.0152941176470589</v>
      </c>
      <c r="K45" s="21">
        <f>VLOOKUP(G45,'OR Q1'!$J$4:$N$18,'OR Q1'!$N$3,FALSE)</f>
        <v>0.94</v>
      </c>
      <c r="L45" s="91">
        <v>0.99199999999999999</v>
      </c>
      <c r="M45" s="95">
        <f t="shared" si="12"/>
        <v>1.0553191489361702</v>
      </c>
    </row>
    <row r="46" spans="2:26" x14ac:dyDescent="0.25">
      <c r="B46" s="86" t="s">
        <v>16</v>
      </c>
      <c r="C46" s="87">
        <f t="shared" si="9"/>
        <v>1.0194174757281553</v>
      </c>
      <c r="D46" s="87">
        <f t="shared" si="10"/>
        <v>0.99188178237368396</v>
      </c>
      <c r="E46" s="21">
        <v>3.7000720403425919E-2</v>
      </c>
      <c r="G46" s="89" t="s">
        <v>17</v>
      </c>
      <c r="H46" s="94">
        <f>VLOOKUP(G46,'OR Q1'!$J$4:$N$18,'OR Q1'!$K$3,FALSE)</f>
        <v>0.86</v>
      </c>
      <c r="I46" s="91">
        <v>0.872</v>
      </c>
      <c r="J46" s="95">
        <f t="shared" si="11"/>
        <v>1.0139534883720931</v>
      </c>
      <c r="K46" s="21">
        <f>VLOOKUP(G46,'OR Q1'!$J$4:$N$18,'OR Q1'!$N$3,FALSE)</f>
        <v>0.9</v>
      </c>
      <c r="L46" s="91">
        <v>0.97099999999999997</v>
      </c>
      <c r="M46" s="95">
        <f t="shared" si="12"/>
        <v>1.0788888888888888</v>
      </c>
    </row>
    <row r="47" spans="2:26" x14ac:dyDescent="0.25">
      <c r="B47" s="86" t="s">
        <v>17</v>
      </c>
      <c r="C47" s="87">
        <f t="shared" si="9"/>
        <v>1</v>
      </c>
      <c r="D47" s="87">
        <f t="shared" si="10"/>
        <v>0.90026356922259376</v>
      </c>
      <c r="E47" s="21">
        <v>4.9167533818938604E-2</v>
      </c>
      <c r="G47" s="89" t="s">
        <v>14</v>
      </c>
      <c r="H47" s="94">
        <f>VLOOKUP(G47,'OR Q1'!$J$4:$N$18,'OR Q1'!$K$3,FALSE)</f>
        <v>0.82</v>
      </c>
      <c r="I47" s="91">
        <v>0.84699999999999998</v>
      </c>
      <c r="J47" s="95">
        <f t="shared" si="11"/>
        <v>1.0329268292682927</v>
      </c>
      <c r="K47" s="21">
        <f>VLOOKUP(G47,'OR Q1'!$J$4:$N$18,'OR Q1'!$N$3,FALSE)</f>
        <v>0.91</v>
      </c>
      <c r="L47" s="91">
        <v>0.91100000000000003</v>
      </c>
      <c r="M47" s="95">
        <f t="shared" si="12"/>
        <v>1.0010989010989011</v>
      </c>
    </row>
    <row r="48" spans="2:26" x14ac:dyDescent="0.25">
      <c r="B48" s="86" t="s">
        <v>18</v>
      </c>
      <c r="C48" s="87">
        <f t="shared" si="9"/>
        <v>0.9882352941176471</v>
      </c>
      <c r="D48" s="87">
        <f t="shared" si="10"/>
        <v>0.96495887353855914</v>
      </c>
      <c r="E48" s="21">
        <v>3.7180821259905544E-2</v>
      </c>
      <c r="G48" s="89" t="s">
        <v>18</v>
      </c>
      <c r="H48" s="94">
        <f>VLOOKUP(G48,'OR Q1'!$J$4:$N$18,'OR Q1'!$K$3,FALSE)</f>
        <v>0.94</v>
      </c>
      <c r="I48" s="91">
        <v>0.99099999999999999</v>
      </c>
      <c r="J48" s="95">
        <f t="shared" si="11"/>
        <v>1.0542553191489363</v>
      </c>
      <c r="K48" s="21">
        <f>VLOOKUP(G48,'OR Q1'!$J$4:$N$18,'OR Q1'!$N$3,FALSE)</f>
        <v>0.95</v>
      </c>
      <c r="L48" s="91">
        <v>0.98099999999999998</v>
      </c>
      <c r="M48" s="95">
        <f t="shared" si="12"/>
        <v>1.0326315789473683</v>
      </c>
    </row>
    <row r="49" spans="2:15" x14ac:dyDescent="0.25">
      <c r="B49" s="86" t="s">
        <v>19</v>
      </c>
      <c r="C49" s="87">
        <f t="shared" si="9"/>
        <v>0.92079207920792083</v>
      </c>
      <c r="D49" s="87">
        <f t="shared" si="10"/>
        <v>1.0297694072668431</v>
      </c>
      <c r="E49" s="21">
        <v>4.3844552949651804E-2</v>
      </c>
      <c r="G49" s="90" t="s">
        <v>26</v>
      </c>
      <c r="H49" s="94">
        <f>VLOOKUP(G49,'OR Q1'!$J$4:$N$18,'OR Q1'!$K$3,FALSE)</f>
        <v>0.85</v>
      </c>
      <c r="I49" s="91">
        <v>0.88200000000000001</v>
      </c>
      <c r="J49" s="95">
        <f t="shared" si="11"/>
        <v>1.0376470588235294</v>
      </c>
      <c r="K49" s="21">
        <f>VLOOKUP(G49,'OR Q1'!$J$4:$N$18,'OR Q1'!$N$3,FALSE)</f>
        <v>0.87</v>
      </c>
      <c r="L49" s="91">
        <v>0.93</v>
      </c>
      <c r="M49" s="95">
        <f t="shared" si="12"/>
        <v>1.0689655172413794</v>
      </c>
    </row>
    <row r="50" spans="2:15" x14ac:dyDescent="0.25">
      <c r="B50" s="86" t="s">
        <v>20</v>
      </c>
      <c r="C50" s="87">
        <f t="shared" si="9"/>
        <v>1.0258620689655173</v>
      </c>
      <c r="D50" s="87">
        <f t="shared" si="10"/>
        <v>1.1040704099227405</v>
      </c>
      <c r="E50" s="21">
        <v>4.9207556231489633E-2</v>
      </c>
      <c r="G50" s="90" t="s">
        <v>19</v>
      </c>
      <c r="H50" s="94">
        <f>VLOOKUP(G50,'OR Q1'!$J$4:$N$18,'OR Q1'!$K$3,FALSE)</f>
        <v>0.7</v>
      </c>
      <c r="I50" s="91">
        <v>0.77100000000000002</v>
      </c>
      <c r="J50" s="95">
        <f t="shared" si="11"/>
        <v>1.1014285714285714</v>
      </c>
      <c r="K50" s="21">
        <f>VLOOKUP(G50,'OR Q1'!$J$4:$N$18,'OR Q1'!$N$3,FALSE)</f>
        <v>0.83</v>
      </c>
      <c r="L50" s="91">
        <v>0.95899999999999996</v>
      </c>
      <c r="M50" s="95">
        <f t="shared" si="12"/>
        <v>1.155421686746988</v>
      </c>
    </row>
    <row r="51" spans="2:15" x14ac:dyDescent="0.25">
      <c r="B51" s="86" t="s">
        <v>21</v>
      </c>
      <c r="C51" s="87">
        <f t="shared" si="9"/>
        <v>1.1195652173913044</v>
      </c>
      <c r="D51" s="87">
        <f t="shared" si="10"/>
        <v>1.1484138420733871</v>
      </c>
      <c r="E51" s="21">
        <v>2.2992876010565919E-2</v>
      </c>
      <c r="G51" s="90" t="s">
        <v>23</v>
      </c>
      <c r="H51" s="94">
        <f>VLOOKUP(G51,'OR Q1'!$J$4:$N$18,'OR Q1'!$K$3,FALSE)</f>
        <v>0.75</v>
      </c>
      <c r="I51" s="91">
        <v>0.76600000000000001</v>
      </c>
      <c r="J51" s="95">
        <f t="shared" si="11"/>
        <v>1.0213333333333334</v>
      </c>
      <c r="K51" s="21">
        <f>VLOOKUP(G51,'OR Q1'!$J$4:$N$18,'OR Q1'!$N$3,FALSE)</f>
        <v>0.83</v>
      </c>
      <c r="L51" s="92">
        <v>0.78400000000000003</v>
      </c>
      <c r="M51" s="95">
        <f t="shared" si="12"/>
        <v>0.94457831325301211</v>
      </c>
    </row>
    <row r="52" spans="2:15" x14ac:dyDescent="0.25">
      <c r="B52" s="86" t="s">
        <v>22</v>
      </c>
      <c r="C52" s="87">
        <f t="shared" si="9"/>
        <v>0.94701986754966883</v>
      </c>
      <c r="D52" s="87">
        <f t="shared" si="10"/>
        <v>0.98328594775685363</v>
      </c>
      <c r="E52" s="21">
        <v>4.5365404626590888E-2</v>
      </c>
      <c r="G52" s="90" t="s">
        <v>20</v>
      </c>
      <c r="H52" s="94">
        <f>VLOOKUP(G52,'OR Q1'!$J$4:$N$18,'OR Q1'!$K$3,FALSE)</f>
        <v>0.7</v>
      </c>
      <c r="I52" s="92">
        <v>0.624</v>
      </c>
      <c r="J52" s="95">
        <f t="shared" si="11"/>
        <v>0.89142857142857146</v>
      </c>
      <c r="K52" s="21">
        <f>VLOOKUP(G52,'OR Q1'!$J$4:$N$18,'OR Q1'!$N$3,FALSE)</f>
        <v>0.83</v>
      </c>
      <c r="L52" s="91">
        <v>1</v>
      </c>
      <c r="M52" s="95">
        <f t="shared" si="12"/>
        <v>1.2048192771084338</v>
      </c>
    </row>
    <row r="53" spans="2:15" x14ac:dyDescent="0.25">
      <c r="B53" s="86" t="s">
        <v>23</v>
      </c>
      <c r="C53" s="87">
        <f t="shared" si="9"/>
        <v>0.98561151079136711</v>
      </c>
      <c r="D53" s="87">
        <f t="shared" si="10"/>
        <v>1.2576626286340804</v>
      </c>
      <c r="E53" s="21">
        <v>4.8046906267509806E-2</v>
      </c>
      <c r="G53" s="90" t="s">
        <v>21</v>
      </c>
      <c r="H53" s="94">
        <f>VLOOKUP(G53,'OR Q1'!$J$4:$N$18,'OR Q1'!$K$3,FALSE)</f>
        <v>0.7</v>
      </c>
      <c r="I53" s="92">
        <v>0.56499999999999995</v>
      </c>
      <c r="J53" s="95">
        <f t="shared" si="11"/>
        <v>0.80714285714285716</v>
      </c>
      <c r="K53" s="21">
        <f>VLOOKUP(G53,'OR Q1'!$J$4:$N$18,'OR Q1'!$N$3,FALSE)</f>
        <v>0.83</v>
      </c>
      <c r="L53" s="91">
        <v>0.91700000000000004</v>
      </c>
      <c r="M53" s="95">
        <f t="shared" si="12"/>
        <v>1.1048192771084338</v>
      </c>
    </row>
    <row r="54" spans="2:15" x14ac:dyDescent="0.25">
      <c r="B54" s="86" t="s">
        <v>25</v>
      </c>
      <c r="C54" s="87">
        <f t="shared" si="9"/>
        <v>0.89763779527559051</v>
      </c>
      <c r="D54" s="87">
        <f t="shared" si="10"/>
        <v>0.88794267128590265</v>
      </c>
      <c r="E54" s="21">
        <v>4.928760105659169E-2</v>
      </c>
      <c r="G54" s="90" t="s">
        <v>25</v>
      </c>
      <c r="H54" s="94">
        <f>VLOOKUP(G54,'OR Q1'!$J$4:$N$18,'OR Q1'!$K$3,FALSE)</f>
        <v>0.84</v>
      </c>
      <c r="I54" s="91">
        <v>0.90900000000000003</v>
      </c>
      <c r="J54" s="95">
        <f t="shared" si="11"/>
        <v>1.0821428571428573</v>
      </c>
      <c r="K54" s="21">
        <f>VLOOKUP(G54,'OR Q1'!$J$4:$N$18,'OR Q1'!$N$3,FALSE)</f>
        <v>0.9</v>
      </c>
      <c r="L54" s="91">
        <v>0.94</v>
      </c>
      <c r="M54" s="95">
        <f t="shared" si="12"/>
        <v>1.0444444444444443</v>
      </c>
    </row>
    <row r="55" spans="2:15" x14ac:dyDescent="0.25">
      <c r="B55" s="86" t="s">
        <v>26</v>
      </c>
      <c r="C55" s="87">
        <f t="shared" si="9"/>
        <v>0.94186046511627919</v>
      </c>
      <c r="D55" s="87">
        <f t="shared" si="10"/>
        <v>0.89212234105619226</v>
      </c>
      <c r="E55" s="21">
        <v>2.2272472584647401E-2</v>
      </c>
      <c r="G55" s="90" t="s">
        <v>22</v>
      </c>
      <c r="H55" s="94">
        <f>VLOOKUP(G55,'OR Q1'!$J$4:$N$18,'OR Q1'!$K$3,FALSE)</f>
        <v>0.7</v>
      </c>
      <c r="I55" s="91">
        <v>0.80400000000000005</v>
      </c>
      <c r="J55" s="95">
        <f t="shared" si="11"/>
        <v>1.1485714285714288</v>
      </c>
      <c r="K55" s="21">
        <f>VLOOKUP(G55,'OR Q1'!$J$4:$N$18,'OR Q1'!$N$3,FALSE)</f>
        <v>0.88</v>
      </c>
      <c r="L55" s="91">
        <v>0.95299999999999996</v>
      </c>
      <c r="M55" s="95">
        <f t="shared" si="12"/>
        <v>1.0829545454545455</v>
      </c>
    </row>
    <row r="56" spans="2:15" x14ac:dyDescent="0.25">
      <c r="B56" s="86" t="s">
        <v>27</v>
      </c>
      <c r="C56" s="87">
        <f t="shared" si="9"/>
        <v>0.96290726817042616</v>
      </c>
      <c r="D56" s="87">
        <f t="shared" si="10"/>
        <v>2.0844035635774616</v>
      </c>
      <c r="E56" s="21">
        <v>3.2057952453373888E-2</v>
      </c>
      <c r="G56" s="90" t="s">
        <v>33</v>
      </c>
      <c r="H56" s="94">
        <f>VLOOKUP(G56,'OR Q1'!$J$4:$N$18,'OR Q1'!$K$3,FALSE)</f>
        <v>0.7</v>
      </c>
      <c r="I56" s="92">
        <v>0.53800000000000003</v>
      </c>
      <c r="J56" s="95">
        <f t="shared" si="11"/>
        <v>0.76857142857142868</v>
      </c>
      <c r="K56" s="21">
        <f>VLOOKUP(G56,'OR Q1'!$J$4:$N$18,'OR Q1'!$N$3,FALSE)</f>
        <v>0.88</v>
      </c>
      <c r="L56" s="91">
        <v>0.93500000000000005</v>
      </c>
      <c r="M56" s="95">
        <f t="shared" si="12"/>
        <v>1.0625</v>
      </c>
    </row>
    <row r="57" spans="2:15" x14ac:dyDescent="0.25">
      <c r="B57" s="86" t="s">
        <v>78</v>
      </c>
      <c r="C57" s="87">
        <f t="shared" si="9"/>
        <v>1.0466138962181177</v>
      </c>
      <c r="D57" s="87">
        <f t="shared" si="10"/>
        <v>1.6214</v>
      </c>
      <c r="E57" s="21">
        <v>1.2907228047706719E-2</v>
      </c>
    </row>
    <row r="59" spans="2:15" x14ac:dyDescent="0.25">
      <c r="B59" t="s">
        <v>147</v>
      </c>
      <c r="G59" t="s">
        <v>148</v>
      </c>
      <c r="L59" t="s">
        <v>149</v>
      </c>
    </row>
    <row r="60" spans="2:15" x14ac:dyDescent="0.25">
      <c r="B60">
        <v>1</v>
      </c>
      <c r="C60">
        <v>2</v>
      </c>
      <c r="D60">
        <v>3</v>
      </c>
      <c r="E60">
        <v>4</v>
      </c>
      <c r="G60">
        <v>1</v>
      </c>
      <c r="H60">
        <v>2</v>
      </c>
      <c r="I60">
        <v>3</v>
      </c>
    </row>
    <row r="61" spans="2:15" x14ac:dyDescent="0.25">
      <c r="B61" s="20" t="s">
        <v>34</v>
      </c>
      <c r="C61" s="20" t="s">
        <v>50</v>
      </c>
      <c r="D61" s="20" t="s">
        <v>51</v>
      </c>
      <c r="E61" s="20" t="s">
        <v>142</v>
      </c>
      <c r="G61" s="93" t="s">
        <v>34</v>
      </c>
      <c r="H61" s="20" t="s">
        <v>2</v>
      </c>
      <c r="I61" s="20" t="s">
        <v>3</v>
      </c>
      <c r="J61" s="20" t="s">
        <v>142</v>
      </c>
      <c r="L61" s="20" t="s">
        <v>34</v>
      </c>
      <c r="M61" s="20" t="s">
        <v>150</v>
      </c>
      <c r="N61" s="20" t="s">
        <v>11</v>
      </c>
      <c r="O61" s="20" t="s">
        <v>142</v>
      </c>
    </row>
    <row r="62" spans="2:15" x14ac:dyDescent="0.25">
      <c r="B62" s="124" t="s">
        <v>13</v>
      </c>
      <c r="C62" s="125">
        <v>1.2076813655761025</v>
      </c>
      <c r="D62" s="125">
        <v>0.93980081824620931</v>
      </c>
      <c r="E62" s="21">
        <f>VLOOKUP(B62,$B$42:$E$57,$E$41,FALSE)</f>
        <v>0.27027135195709595</v>
      </c>
      <c r="G62" s="96" t="s">
        <v>13</v>
      </c>
      <c r="H62" s="27">
        <v>1.0166666666666666</v>
      </c>
      <c r="I62" s="27">
        <v>1.0413043478260868</v>
      </c>
      <c r="J62" s="27">
        <f>VLOOKUP(G62,$B$61:$E$76,$E$60,FALSE)</f>
        <v>0.27027135195709595</v>
      </c>
      <c r="L62" s="121" t="s">
        <v>26</v>
      </c>
      <c r="M62" s="120">
        <v>182.68611421421474</v>
      </c>
      <c r="N62" s="119">
        <v>0.81018530407886746</v>
      </c>
      <c r="O62" s="31">
        <f>VLOOKUP(L62,$B$61:$E$76,$E$60,FALSE)</f>
        <v>2.2272472584647401E-2</v>
      </c>
    </row>
    <row r="63" spans="2:15" x14ac:dyDescent="0.25">
      <c r="B63" s="124" t="s">
        <v>15</v>
      </c>
      <c r="C63" s="125">
        <v>1.0214882610425786</v>
      </c>
      <c r="D63" s="125">
        <v>1.1948697958841565</v>
      </c>
      <c r="E63" s="21">
        <f t="shared" ref="E63:E76" si="13">VLOOKUP(B63,$B$42:$E$57,$E$41,FALSE)</f>
        <v>0.13185383814936363</v>
      </c>
      <c r="G63" s="96" t="s">
        <v>15</v>
      </c>
      <c r="H63" s="27">
        <v>1.0304347826086955</v>
      </c>
      <c r="I63" s="27">
        <v>1.0184782608695653</v>
      </c>
      <c r="J63" s="27">
        <f t="shared" ref="J63:J75" si="14">VLOOKUP(G63,$B$61:$E$76,$E$60,FALSE)</f>
        <v>0.13185383814936363</v>
      </c>
      <c r="L63" s="121" t="s">
        <v>13</v>
      </c>
      <c r="M63" s="120">
        <v>233.26459616388448</v>
      </c>
      <c r="N63" s="119">
        <v>1.0501222325041781</v>
      </c>
      <c r="O63" s="31">
        <f t="shared" ref="O63:O76" si="15">VLOOKUP(L63,$B$61:$E$76,$E$60,FALSE)</f>
        <v>0.27027135195709595</v>
      </c>
    </row>
    <row r="64" spans="2:15" x14ac:dyDescent="0.25">
      <c r="B64" s="124" t="s">
        <v>14</v>
      </c>
      <c r="C64" s="125">
        <v>0.75994985897837664</v>
      </c>
      <c r="D64" s="125">
        <v>0.86148872633986107</v>
      </c>
      <c r="E64" s="21">
        <f t="shared" si="13"/>
        <v>0.12557031937885216</v>
      </c>
      <c r="G64" s="96" t="s">
        <v>16</v>
      </c>
      <c r="H64" s="27">
        <v>1.0152941176470589</v>
      </c>
      <c r="I64" s="27">
        <v>1.0553191489361702</v>
      </c>
      <c r="J64" s="27">
        <f t="shared" si="14"/>
        <v>3.7000720403425919E-2</v>
      </c>
      <c r="L64" s="121" t="s">
        <v>15</v>
      </c>
      <c r="M64" s="120">
        <v>339.64216893316086</v>
      </c>
      <c r="N64" s="119">
        <v>1.3195272578068546</v>
      </c>
      <c r="O64" s="31">
        <f t="shared" si="15"/>
        <v>0.13185383814936363</v>
      </c>
    </row>
    <row r="65" spans="2:15" x14ac:dyDescent="0.25">
      <c r="B65" s="124" t="s">
        <v>20</v>
      </c>
      <c r="C65" s="125">
        <v>0.76557863501483681</v>
      </c>
      <c r="D65" s="125">
        <v>1.040391870330883</v>
      </c>
      <c r="E65" s="21">
        <f t="shared" si="13"/>
        <v>4.9207556231489633E-2</v>
      </c>
      <c r="G65" s="96" t="s">
        <v>17</v>
      </c>
      <c r="H65" s="27">
        <v>1.0139534883720931</v>
      </c>
      <c r="I65" s="27">
        <v>1.0788888888888888</v>
      </c>
      <c r="J65" s="27">
        <f t="shared" si="14"/>
        <v>4.9167533818938604E-2</v>
      </c>
      <c r="L65" s="121" t="s">
        <v>22</v>
      </c>
      <c r="M65" s="120">
        <v>362.75231579214898</v>
      </c>
      <c r="N65" s="119">
        <v>1.4319805194805195</v>
      </c>
      <c r="O65" s="31">
        <f t="shared" si="15"/>
        <v>4.5365404626590888E-2</v>
      </c>
    </row>
    <row r="66" spans="2:15" x14ac:dyDescent="0.25">
      <c r="B66" s="124" t="s">
        <v>19</v>
      </c>
      <c r="C66" s="125">
        <v>0.96714285714285719</v>
      </c>
      <c r="D66" s="125">
        <v>0.93847609585314506</v>
      </c>
      <c r="E66" s="21">
        <f t="shared" si="13"/>
        <v>4.3844552949651804E-2</v>
      </c>
      <c r="G66" s="96" t="s">
        <v>14</v>
      </c>
      <c r="H66" s="27">
        <v>1.0329268292682927</v>
      </c>
      <c r="I66" s="27">
        <v>1.0010989010989011</v>
      </c>
      <c r="J66" s="27">
        <f t="shared" si="14"/>
        <v>0.12557031937885216</v>
      </c>
      <c r="L66" s="121" t="s">
        <v>16</v>
      </c>
      <c r="M66" s="120">
        <v>291.05354695673907</v>
      </c>
      <c r="N66" s="119">
        <v>1.0493557408710368</v>
      </c>
      <c r="O66" s="31">
        <f t="shared" si="15"/>
        <v>3.7000720403425919E-2</v>
      </c>
    </row>
    <row r="67" spans="2:15" x14ac:dyDescent="0.25">
      <c r="B67" s="124" t="s">
        <v>23</v>
      </c>
      <c r="C67" s="125">
        <v>1.1531365313653137</v>
      </c>
      <c r="D67" s="125">
        <v>1.1042238490669449</v>
      </c>
      <c r="E67" s="21">
        <f t="shared" si="13"/>
        <v>4.8046906267509806E-2</v>
      </c>
      <c r="G67" s="96" t="s">
        <v>18</v>
      </c>
      <c r="H67" s="27">
        <v>1.0542553191489363</v>
      </c>
      <c r="I67" s="27">
        <v>1.0326315789473683</v>
      </c>
      <c r="J67" s="27">
        <f t="shared" si="14"/>
        <v>3.7180821259905544E-2</v>
      </c>
      <c r="L67" s="121" t="s">
        <v>19</v>
      </c>
      <c r="M67" s="120">
        <v>228.11978040430577</v>
      </c>
      <c r="N67" s="119">
        <v>0.92982564609867691</v>
      </c>
      <c r="O67" s="31">
        <f t="shared" si="15"/>
        <v>4.3844552949651804E-2</v>
      </c>
    </row>
    <row r="68" spans="2:15" x14ac:dyDescent="0.25">
      <c r="B68" s="124" t="s">
        <v>17</v>
      </c>
      <c r="C68" s="125">
        <v>0.73657289002557547</v>
      </c>
      <c r="D68" s="125">
        <v>0.69452530394025258</v>
      </c>
      <c r="E68" s="21">
        <f t="shared" si="13"/>
        <v>4.9167533818938604E-2</v>
      </c>
      <c r="G68" s="96" t="s">
        <v>26</v>
      </c>
      <c r="H68" s="27">
        <v>1.0376470588235294</v>
      </c>
      <c r="I68" s="27">
        <v>1.0689655172413794</v>
      </c>
      <c r="J68" s="27">
        <f t="shared" si="14"/>
        <v>2.2272472584647401E-2</v>
      </c>
      <c r="L68" s="121" t="s">
        <v>23</v>
      </c>
      <c r="M68" s="120">
        <v>361.48041633502748</v>
      </c>
      <c r="N68" s="119">
        <v>1.3690889029003781</v>
      </c>
      <c r="O68" s="31">
        <f t="shared" si="15"/>
        <v>4.8046906267509806E-2</v>
      </c>
    </row>
    <row r="69" spans="2:15" x14ac:dyDescent="0.25">
      <c r="B69" s="124" t="s">
        <v>22</v>
      </c>
      <c r="C69" s="125">
        <v>0.86757990867579904</v>
      </c>
      <c r="D69" s="125">
        <v>0.92228237493710941</v>
      </c>
      <c r="E69" s="21">
        <f t="shared" si="13"/>
        <v>4.5365404626590888E-2</v>
      </c>
      <c r="G69" s="96" t="s">
        <v>19</v>
      </c>
      <c r="H69" s="27">
        <v>1.1014285714285714</v>
      </c>
      <c r="I69" s="27">
        <v>1.155421686746988</v>
      </c>
      <c r="J69" s="27">
        <f t="shared" si="14"/>
        <v>4.3844552949651804E-2</v>
      </c>
      <c r="L69" s="121" t="s">
        <v>20</v>
      </c>
      <c r="M69" s="120">
        <v>286.98448249076125</v>
      </c>
      <c r="N69" s="119">
        <v>1.1929558476575666</v>
      </c>
      <c r="O69" s="31">
        <f t="shared" si="15"/>
        <v>4.9207556231489633E-2</v>
      </c>
    </row>
    <row r="70" spans="2:15" x14ac:dyDescent="0.25">
      <c r="B70" s="124" t="s">
        <v>25</v>
      </c>
      <c r="C70" s="125">
        <v>0.88087248322147649</v>
      </c>
      <c r="D70" s="125">
        <v>0.80213006179049562</v>
      </c>
      <c r="E70" s="21">
        <f t="shared" si="13"/>
        <v>4.928760105659169E-2</v>
      </c>
      <c r="G70" s="96" t="s">
        <v>23</v>
      </c>
      <c r="H70" s="27">
        <v>1.0213333333333334</v>
      </c>
      <c r="I70" s="27">
        <v>0.94457831325301211</v>
      </c>
      <c r="J70" s="27">
        <f t="shared" si="14"/>
        <v>4.8046906267509806E-2</v>
      </c>
      <c r="L70" s="121" t="s">
        <v>74</v>
      </c>
      <c r="M70" s="120">
        <v>2.3122145556235876</v>
      </c>
      <c r="N70" s="119">
        <v>2.5011302646833689</v>
      </c>
      <c r="O70" s="31">
        <v>6.3635635956135438E-3</v>
      </c>
    </row>
    <row r="71" spans="2:15" x14ac:dyDescent="0.25">
      <c r="B71" s="124" t="s">
        <v>16</v>
      </c>
      <c r="C71" s="125">
        <v>0.6</v>
      </c>
      <c r="D71" s="125">
        <v>0.50451045705236719</v>
      </c>
      <c r="E71" s="21">
        <f t="shared" si="13"/>
        <v>3.7000720403425919E-2</v>
      </c>
      <c r="G71" s="96" t="s">
        <v>20</v>
      </c>
      <c r="H71" s="27">
        <v>0.89142857142857146</v>
      </c>
      <c r="I71" s="27">
        <v>1.2048192771084338</v>
      </c>
      <c r="J71" s="27">
        <f t="shared" si="14"/>
        <v>4.9207556231489633E-2</v>
      </c>
      <c r="L71" s="121" t="s">
        <v>21</v>
      </c>
      <c r="M71" s="120">
        <v>234.54665680694274</v>
      </c>
      <c r="N71" s="119">
        <v>1.0285951098217987</v>
      </c>
      <c r="O71" s="31">
        <f t="shared" si="15"/>
        <v>2.2992876010565919E-2</v>
      </c>
    </row>
    <row r="72" spans="2:15" x14ac:dyDescent="0.25">
      <c r="B72" s="124" t="s">
        <v>18</v>
      </c>
      <c r="C72" s="125">
        <v>0.62378640776699024</v>
      </c>
      <c r="D72" s="125">
        <v>0.6034273061886859</v>
      </c>
      <c r="E72" s="21">
        <f t="shared" si="13"/>
        <v>3.7180821259905544E-2</v>
      </c>
      <c r="G72" s="96" t="s">
        <v>21</v>
      </c>
      <c r="H72" s="27">
        <v>0.80714285714285716</v>
      </c>
      <c r="I72" s="27">
        <v>1.1048192771084338</v>
      </c>
      <c r="J72" s="27">
        <f t="shared" si="14"/>
        <v>2.2992876010565919E-2</v>
      </c>
      <c r="L72" s="121" t="s">
        <v>14</v>
      </c>
      <c r="M72" s="120">
        <v>50.846559617461928</v>
      </c>
      <c r="N72" s="119">
        <v>0.86441535902812927</v>
      </c>
      <c r="O72" s="31">
        <f t="shared" si="15"/>
        <v>0.12557031937885216</v>
      </c>
    </row>
    <row r="73" spans="2:15" x14ac:dyDescent="0.25">
      <c r="B73" s="124" t="s">
        <v>33</v>
      </c>
      <c r="C73" s="125">
        <v>0.70903954802259883</v>
      </c>
      <c r="D73" s="125">
        <v>0.78080948721511567</v>
      </c>
      <c r="E73" s="21">
        <f t="shared" si="13"/>
        <v>3.2057952453373888E-2</v>
      </c>
      <c r="G73" s="96" t="s">
        <v>25</v>
      </c>
      <c r="H73" s="27">
        <v>1.0821428571428573</v>
      </c>
      <c r="I73" s="27">
        <v>1.0444444444444443</v>
      </c>
      <c r="J73" s="27">
        <f t="shared" si="14"/>
        <v>4.928760105659169E-2</v>
      </c>
      <c r="L73" s="121" t="s">
        <v>17</v>
      </c>
      <c r="M73" s="120">
        <v>217.0277016229891</v>
      </c>
      <c r="N73" s="119">
        <v>0.80477316165375723</v>
      </c>
      <c r="O73" s="31">
        <f t="shared" si="15"/>
        <v>4.9167533818938604E-2</v>
      </c>
    </row>
    <row r="74" spans="2:15" x14ac:dyDescent="0.25">
      <c r="B74" s="124" t="s">
        <v>21</v>
      </c>
      <c r="C74" s="125">
        <v>1.0454545454545454</v>
      </c>
      <c r="D74" s="125">
        <v>1.1686928015298457</v>
      </c>
      <c r="E74" s="21">
        <f t="shared" si="13"/>
        <v>2.2992876010565919E-2</v>
      </c>
      <c r="G74" s="96" t="s">
        <v>22</v>
      </c>
      <c r="H74" s="27">
        <v>1.1485714285714288</v>
      </c>
      <c r="I74" s="27">
        <v>1.0829545454545455</v>
      </c>
      <c r="J74" s="27">
        <f t="shared" si="14"/>
        <v>4.5365404626590888E-2</v>
      </c>
      <c r="L74" s="121" t="s">
        <v>25</v>
      </c>
      <c r="M74" s="120">
        <v>382.32732129722285</v>
      </c>
      <c r="N74" s="119">
        <v>1.5725153883394425</v>
      </c>
      <c r="O74" s="31">
        <f t="shared" si="15"/>
        <v>4.928760105659169E-2</v>
      </c>
    </row>
    <row r="75" spans="2:15" x14ac:dyDescent="0.25">
      <c r="B75" s="124" t="s">
        <v>26</v>
      </c>
      <c r="C75" s="125">
        <v>0.59584664536741216</v>
      </c>
      <c r="D75" s="125">
        <v>0.75383693915570471</v>
      </c>
      <c r="E75" s="21">
        <f t="shared" si="13"/>
        <v>2.2272472584647401E-2</v>
      </c>
      <c r="G75" s="96" t="s">
        <v>33</v>
      </c>
      <c r="H75" s="27">
        <v>0.76857142857142868</v>
      </c>
      <c r="I75" s="27">
        <v>1.0625</v>
      </c>
      <c r="J75" s="27">
        <f t="shared" si="14"/>
        <v>3.2057952453373888E-2</v>
      </c>
      <c r="L75" s="121" t="s">
        <v>76</v>
      </c>
      <c r="M75" s="120">
        <v>22.360984954970778</v>
      </c>
      <c r="N75" s="119">
        <v>1.0554079638451186</v>
      </c>
      <c r="O75" s="31">
        <v>2.1892259665412632E-2</v>
      </c>
    </row>
    <row r="76" spans="2:15" x14ac:dyDescent="0.25">
      <c r="B76" s="124" t="s">
        <v>78</v>
      </c>
      <c r="C76" s="125">
        <v>0.90140845070422537</v>
      </c>
      <c r="D76" s="125">
        <v>0.91011560791943158</v>
      </c>
      <c r="E76" s="21">
        <f t="shared" si="13"/>
        <v>1.2907228047706719E-2</v>
      </c>
      <c r="L76" s="121" t="s">
        <v>18</v>
      </c>
      <c r="M76" s="120">
        <v>211.100709284788</v>
      </c>
      <c r="N76" s="119">
        <v>0.84039256198347112</v>
      </c>
      <c r="O76" s="31">
        <f t="shared" si="15"/>
        <v>3.7180821259905544E-2</v>
      </c>
    </row>
    <row r="78" spans="2:15" x14ac:dyDescent="0.25">
      <c r="B78" s="126" t="s">
        <v>151</v>
      </c>
      <c r="G78" s="127" t="s">
        <v>152</v>
      </c>
    </row>
    <row r="80" spans="2:15" x14ac:dyDescent="0.25">
      <c r="B80" s="20" t="s">
        <v>34</v>
      </c>
      <c r="C80" s="20" t="s">
        <v>50</v>
      </c>
      <c r="D80" s="20" t="s">
        <v>51</v>
      </c>
      <c r="E80" s="20" t="s">
        <v>142</v>
      </c>
      <c r="G80" s="20" t="s">
        <v>34</v>
      </c>
      <c r="H80" s="20" t="s">
        <v>50</v>
      </c>
      <c r="I80" s="20" t="s">
        <v>51</v>
      </c>
      <c r="J80" s="20" t="s">
        <v>142</v>
      </c>
    </row>
    <row r="81" spans="2:10" x14ac:dyDescent="0.25">
      <c r="B81" s="124" t="s">
        <v>13</v>
      </c>
      <c r="C81" s="125">
        <v>1.2076813655761025</v>
      </c>
      <c r="D81" s="125">
        <v>1.0771377822887591</v>
      </c>
      <c r="E81" s="21">
        <v>0.27027135195709595</v>
      </c>
      <c r="G81" s="124" t="s">
        <v>13</v>
      </c>
      <c r="H81" s="125">
        <v>1.0771377822887591</v>
      </c>
      <c r="I81" s="125">
        <v>0.90947430420334952</v>
      </c>
      <c r="J81" s="21">
        <f>VLOOKUP(G81,$B$61:$E$76,$E$60,FALSE)</f>
        <v>0.27027135195709595</v>
      </c>
    </row>
    <row r="82" spans="2:10" x14ac:dyDescent="0.25">
      <c r="B82" s="124" t="s">
        <v>15</v>
      </c>
      <c r="C82" s="125">
        <v>1.0214882610425786</v>
      </c>
      <c r="D82" s="125">
        <v>1.2235462345090562</v>
      </c>
      <c r="E82" s="21">
        <v>0.13185383814936363</v>
      </c>
      <c r="G82" s="124" t="s">
        <v>15</v>
      </c>
      <c r="H82" s="125">
        <v>1.2235462345090562</v>
      </c>
      <c r="I82" s="125">
        <v>1.1021321803137583</v>
      </c>
      <c r="J82" s="21">
        <f t="shared" ref="J82:J95" si="16">VLOOKUP(G82,$B$61:$E$76,$E$60,FALSE)</f>
        <v>0.13185383814936363</v>
      </c>
    </row>
    <row r="83" spans="2:10" x14ac:dyDescent="0.25">
      <c r="B83" s="124" t="s">
        <v>14</v>
      </c>
      <c r="C83" s="125">
        <v>0.75994985897837664</v>
      </c>
      <c r="D83" s="125">
        <v>0.82821038251366119</v>
      </c>
      <c r="E83" s="21">
        <v>0.12557031937885216</v>
      </c>
      <c r="G83" s="124" t="s">
        <v>14</v>
      </c>
      <c r="H83" s="125">
        <v>0.82821038251366119</v>
      </c>
      <c r="I83" s="125">
        <v>0.80935203966495306</v>
      </c>
      <c r="J83" s="21">
        <f t="shared" si="16"/>
        <v>0.12557031937885216</v>
      </c>
    </row>
    <row r="84" spans="2:10" x14ac:dyDescent="0.25">
      <c r="B84" s="124" t="s">
        <v>20</v>
      </c>
      <c r="C84" s="125">
        <v>0.76557863501483681</v>
      </c>
      <c r="D84" s="125">
        <v>1.2585365853658537</v>
      </c>
      <c r="E84" s="21">
        <v>4.9207556231489633E-2</v>
      </c>
      <c r="G84" s="124" t="s">
        <v>20</v>
      </c>
      <c r="H84" s="125">
        <v>1.2585365853658537</v>
      </c>
      <c r="I84" s="125">
        <v>1.1352126486088983</v>
      </c>
      <c r="J84" s="21">
        <f t="shared" si="16"/>
        <v>4.9207556231489633E-2</v>
      </c>
    </row>
    <row r="85" spans="2:10" x14ac:dyDescent="0.25">
      <c r="B85" s="124" t="s">
        <v>19</v>
      </c>
      <c r="C85" s="125">
        <v>0.96714285714285719</v>
      </c>
      <c r="D85" s="125">
        <v>1.1672413793103449</v>
      </c>
      <c r="E85" s="21">
        <v>4.3844552949651804E-2</v>
      </c>
      <c r="G85" s="124" t="s">
        <v>19</v>
      </c>
      <c r="H85" s="125">
        <v>1.1672413793103449</v>
      </c>
      <c r="I85" s="125">
        <v>0.9911597604079232</v>
      </c>
      <c r="J85" s="21">
        <f t="shared" si="16"/>
        <v>4.3844552949651804E-2</v>
      </c>
    </row>
    <row r="86" spans="2:10" x14ac:dyDescent="0.25">
      <c r="B86" s="124" t="s">
        <v>23</v>
      </c>
      <c r="C86" s="125">
        <v>1.1531365313653137</v>
      </c>
      <c r="D86" s="125">
        <v>0.78914141414141414</v>
      </c>
      <c r="E86" s="21">
        <v>4.8046906267509806E-2</v>
      </c>
      <c r="G86" s="124" t="s">
        <v>23</v>
      </c>
      <c r="H86" s="125">
        <v>0.78914141414141414</v>
      </c>
      <c r="I86" s="125">
        <v>0.6630412145936101</v>
      </c>
      <c r="J86" s="21">
        <f t="shared" si="16"/>
        <v>4.8046906267509806E-2</v>
      </c>
    </row>
    <row r="87" spans="2:10" x14ac:dyDescent="0.25">
      <c r="B87" s="124" t="s">
        <v>17</v>
      </c>
      <c r="C87" s="125">
        <v>0.73657289002557547</v>
      </c>
      <c r="D87" s="125">
        <v>0.66435986159169547</v>
      </c>
      <c r="E87" s="21">
        <v>4.9167533818938604E-2</v>
      </c>
      <c r="G87" s="124" t="s">
        <v>17</v>
      </c>
      <c r="H87" s="125">
        <v>0.66435986159169547</v>
      </c>
      <c r="I87" s="125">
        <v>0.53481492089786109</v>
      </c>
      <c r="J87" s="21">
        <f t="shared" si="16"/>
        <v>4.9167533818938604E-2</v>
      </c>
    </row>
    <row r="88" spans="2:10" x14ac:dyDescent="0.25">
      <c r="B88" s="124" t="s">
        <v>22</v>
      </c>
      <c r="C88" s="125">
        <v>0.86757990867579904</v>
      </c>
      <c r="D88" s="125">
        <v>0.93289689034369883</v>
      </c>
      <c r="E88" s="21">
        <v>4.5365404626590888E-2</v>
      </c>
      <c r="G88" s="124" t="s">
        <v>22</v>
      </c>
      <c r="H88" s="125">
        <v>0.93289689034369883</v>
      </c>
      <c r="I88" s="125">
        <v>0.75643443371351438</v>
      </c>
      <c r="J88" s="21">
        <f t="shared" si="16"/>
        <v>4.5365404626590888E-2</v>
      </c>
    </row>
    <row r="89" spans="2:10" x14ac:dyDescent="0.25">
      <c r="B89" s="124" t="s">
        <v>25</v>
      </c>
      <c r="C89" s="125">
        <v>0.88087248322147649</v>
      </c>
      <c r="D89" s="125">
        <v>0.80030487804878048</v>
      </c>
      <c r="E89" s="21">
        <v>4.928760105659169E-2</v>
      </c>
      <c r="G89" s="124" t="s">
        <v>25</v>
      </c>
      <c r="H89" s="125">
        <v>0.80030487804878048</v>
      </c>
      <c r="I89" s="125">
        <v>0.71123287501535026</v>
      </c>
      <c r="J89" s="21">
        <f t="shared" si="16"/>
        <v>4.928760105659169E-2</v>
      </c>
    </row>
    <row r="90" spans="2:10" x14ac:dyDescent="0.25">
      <c r="B90" s="124" t="s">
        <v>16</v>
      </c>
      <c r="C90" s="125">
        <v>0.6</v>
      </c>
      <c r="D90" s="125">
        <v>1.1472527472527472</v>
      </c>
      <c r="E90" s="21">
        <v>3.7000720403425919E-2</v>
      </c>
      <c r="G90" s="124" t="s">
        <v>16</v>
      </c>
      <c r="H90" s="125">
        <v>1.1472527472527472</v>
      </c>
      <c r="I90" s="125">
        <v>0.88109737693093781</v>
      </c>
      <c r="J90" s="21">
        <f t="shared" si="16"/>
        <v>3.7000720403425919E-2</v>
      </c>
    </row>
    <row r="91" spans="2:10" x14ac:dyDescent="0.25">
      <c r="B91" s="124" t="s">
        <v>18</v>
      </c>
      <c r="C91" s="125">
        <v>0.62378640776699024</v>
      </c>
      <c r="D91" s="125">
        <v>1.3385416666666667</v>
      </c>
      <c r="E91" s="21">
        <v>3.7180821259905544E-2</v>
      </c>
      <c r="G91" s="124" t="s">
        <v>18</v>
      </c>
      <c r="H91" s="125">
        <v>1.3385416666666667</v>
      </c>
      <c r="I91" s="125">
        <v>1.1636568257956448</v>
      </c>
      <c r="J91" s="21">
        <f t="shared" si="16"/>
        <v>3.7180821259905544E-2</v>
      </c>
    </row>
    <row r="92" spans="2:10" x14ac:dyDescent="0.25">
      <c r="B92" s="124" t="s">
        <v>33</v>
      </c>
      <c r="C92" s="125">
        <v>0.70903954802259883</v>
      </c>
      <c r="D92" s="125">
        <v>0.90287769784172667</v>
      </c>
      <c r="E92" s="21">
        <v>3.2057952453373888E-2</v>
      </c>
      <c r="G92" s="124" t="s">
        <v>33</v>
      </c>
      <c r="H92" s="125">
        <v>0.90287769784172667</v>
      </c>
      <c r="I92" s="125">
        <v>0.92387485360548771</v>
      </c>
      <c r="J92" s="21">
        <f t="shared" si="16"/>
        <v>3.2057952453373888E-2</v>
      </c>
    </row>
    <row r="93" spans="2:10" x14ac:dyDescent="0.25">
      <c r="B93" s="124" t="s">
        <v>21</v>
      </c>
      <c r="C93" s="125">
        <v>1.0454545454545454</v>
      </c>
      <c r="D93" s="125">
        <v>1.177710843373494</v>
      </c>
      <c r="E93" s="21">
        <v>2.2992876010565919E-2</v>
      </c>
      <c r="G93" s="124" t="s">
        <v>21</v>
      </c>
      <c r="H93" s="125">
        <v>1.177710843373494</v>
      </c>
      <c r="I93" s="125">
        <v>0.92949231703483781</v>
      </c>
      <c r="J93" s="21">
        <f t="shared" si="16"/>
        <v>2.2992876010565919E-2</v>
      </c>
    </row>
    <row r="94" spans="2:10" x14ac:dyDescent="0.25">
      <c r="B94" s="124" t="s">
        <v>26</v>
      </c>
      <c r="C94" s="125">
        <v>0.59584664536741216</v>
      </c>
      <c r="D94" s="125">
        <v>1.008108108108108</v>
      </c>
      <c r="E94" s="21">
        <v>2.2272472584647401E-2</v>
      </c>
      <c r="G94" s="124" t="s">
        <v>26</v>
      </c>
      <c r="H94" s="125">
        <v>1.008108108108108</v>
      </c>
      <c r="I94" s="125">
        <v>1.1626856568705259</v>
      </c>
      <c r="J94" s="21">
        <f t="shared" si="16"/>
        <v>2.2272472584647401E-2</v>
      </c>
    </row>
    <row r="95" spans="2:10" x14ac:dyDescent="0.25">
      <c r="B95" s="124" t="s">
        <v>78</v>
      </c>
      <c r="C95" s="125">
        <v>0.90140845070422537</v>
      </c>
      <c r="D95" s="125">
        <v>1.032258064516129</v>
      </c>
      <c r="E95" s="21">
        <v>1.2907228047706719E-2</v>
      </c>
      <c r="G95" s="124" t="s">
        <v>78</v>
      </c>
      <c r="H95" s="125">
        <v>1.032258064516129</v>
      </c>
      <c r="I95" s="125">
        <v>0.90687148966666931</v>
      </c>
      <c r="J95" s="21">
        <f t="shared" si="16"/>
        <v>1.2907228047706719E-2</v>
      </c>
    </row>
  </sheetData>
  <mergeCells count="10"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A2F4-B071-4281-A6FA-F3FEB648D692}">
  <sheetPr codeName="Hoja4"/>
  <dimension ref="B3:N73"/>
  <sheetViews>
    <sheetView zoomScale="127" workbookViewId="0">
      <selection activeCell="B3" sqref="B3:M3"/>
    </sheetView>
  </sheetViews>
  <sheetFormatPr baseColWidth="10" defaultColWidth="8.85546875" defaultRowHeight="15" x14ac:dyDescent="0.25"/>
  <cols>
    <col min="2" max="2" width="12.42578125" customWidth="1"/>
    <col min="7" max="7" width="12.5703125" customWidth="1"/>
    <col min="9" max="9" width="11.42578125" customWidth="1"/>
    <col min="12" max="12" width="10.42578125" customWidth="1"/>
    <col min="13" max="13" width="10.7109375" customWidth="1"/>
  </cols>
  <sheetData>
    <row r="3" spans="2:13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3" x14ac:dyDescent="0.25">
      <c r="B4" s="14" t="s">
        <v>13</v>
      </c>
      <c r="C4" s="27">
        <f>VLOOKUP(B4,'OR Q2'!$G$61:$J$75,'OR Q2'!$H$60,FALSE)</f>
        <v>1.0166666666666666</v>
      </c>
      <c r="D4" s="27">
        <f>VLOOKUP(B4,'OR Q2'!$G$61:$J$75,'OR Q2'!$I$60,FALSE)</f>
        <v>1.0413043478260868</v>
      </c>
      <c r="E4" s="30">
        <v>1</v>
      </c>
      <c r="F4" s="27">
        <v>0.96701655572623324</v>
      </c>
      <c r="G4" s="27">
        <f>VLOOKUP(B4,'OR Q2'!$M$22:$S$36,'OR Q2'!$S$21,FALSE)</f>
        <v>1.0329379739451685</v>
      </c>
      <c r="H4" s="27">
        <v>1</v>
      </c>
      <c r="I4" s="27">
        <v>1</v>
      </c>
      <c r="J4" s="30">
        <v>1</v>
      </c>
      <c r="K4" s="27">
        <f>VLOOKUP(B4,'OR Q2'!$B$42:$E$57,'OR Q2'!$D$41,FALSE)</f>
        <v>1.037858502462635</v>
      </c>
      <c r="L4" s="27">
        <f>VLOOKUP(B4,'OR Q2'!$B$42:$E$57,'OR Q2'!$C$41,FALSE)</f>
        <v>1.0606060606060606</v>
      </c>
      <c r="M4" s="27">
        <v>1.0923829130211014</v>
      </c>
    </row>
    <row r="5" spans="2:13" x14ac:dyDescent="0.25">
      <c r="B5" s="14" t="s">
        <v>14</v>
      </c>
      <c r="C5" s="27">
        <f>VLOOKUP(B5,'OR Q2'!$G$61:$J$75,'OR Q2'!$H$60,FALSE)</f>
        <v>1.0329268292682927</v>
      </c>
      <c r="D5" s="27">
        <f>VLOOKUP(B5,'OR Q2'!$G$61:$J$75,'OR Q2'!$I$60,FALSE)</f>
        <v>1.0010989010989011</v>
      </c>
      <c r="E5" s="30">
        <v>1</v>
      </c>
      <c r="F5" s="27">
        <v>0</v>
      </c>
      <c r="G5" s="27">
        <f>VLOOKUP(B5,'OR Q2'!$M$22:$S$36,'OR Q2'!$S$21,FALSE)</f>
        <v>0.96329707414638166</v>
      </c>
      <c r="H5" s="27">
        <v>0.5</v>
      </c>
      <c r="I5" s="27">
        <v>1</v>
      </c>
      <c r="J5" s="30">
        <v>1</v>
      </c>
      <c r="K5" s="27">
        <f>VLOOKUP(B5,'OR Q2'!$B$42:$E$57,'OR Q2'!$D$41,FALSE)</f>
        <v>0.85580360464787242</v>
      </c>
      <c r="L5" s="27">
        <f>VLOOKUP(B5,'OR Q2'!$B$42:$E$57,'OR Q2'!$C$41,FALSE)</f>
        <v>1</v>
      </c>
      <c r="M5" s="27">
        <v>0.86360398860398857</v>
      </c>
    </row>
    <row r="6" spans="2:13" x14ac:dyDescent="0.25">
      <c r="B6" s="14" t="s">
        <v>15</v>
      </c>
      <c r="C6" s="27">
        <f>VLOOKUP(B6,'OR Q2'!$G$61:$J$75,'OR Q2'!$H$60,FALSE)</f>
        <v>1.0304347826086955</v>
      </c>
      <c r="D6" s="27">
        <f>VLOOKUP(B6,'OR Q2'!$G$61:$J$75,'OR Q2'!$I$60,FALSE)</f>
        <v>1.0184782608695653</v>
      </c>
      <c r="E6" s="30">
        <v>1</v>
      </c>
      <c r="F6" s="27">
        <v>1.1111111111111112</v>
      </c>
      <c r="G6" s="27">
        <f>VLOOKUP(B6,'OR Q2'!$M$22:$S$36,'OR Q2'!$S$21,FALSE)</f>
        <v>1.1881727643325248</v>
      </c>
      <c r="H6" s="27">
        <v>1</v>
      </c>
      <c r="I6" s="27">
        <v>1</v>
      </c>
      <c r="J6" s="30">
        <v>1</v>
      </c>
      <c r="K6" s="27">
        <f>VLOOKUP(B6,'OR Q2'!$B$42:$E$57,'OR Q2'!$D$41,FALSE)</f>
        <v>1.0938871259819889</v>
      </c>
      <c r="L6" s="27">
        <f>VLOOKUP(B6,'OR Q2'!$B$42:$E$57,'OR Q2'!$C$41,FALSE)</f>
        <v>1</v>
      </c>
      <c r="M6" s="27">
        <v>1.0946695095948826</v>
      </c>
    </row>
    <row r="7" spans="2:13" x14ac:dyDescent="0.25">
      <c r="B7" s="14" t="s">
        <v>16</v>
      </c>
      <c r="C7" s="27">
        <f>VLOOKUP(B7,'OR Q2'!$G$61:$J$75,'OR Q2'!$H$60,FALSE)</f>
        <v>1.0152941176470589</v>
      </c>
      <c r="D7" s="27">
        <f>VLOOKUP(B7,'OR Q2'!$G$61:$J$75,'OR Q2'!$I$60,FALSE)</f>
        <v>1.0553191489361702</v>
      </c>
      <c r="E7" s="30">
        <v>1</v>
      </c>
      <c r="F7" s="27">
        <v>1.0637912154944371</v>
      </c>
      <c r="G7" s="27">
        <f>VLOOKUP(B7,'OR Q2'!$M$22:$S$36,'OR Q2'!$S$21,FALSE)</f>
        <v>1.4880289113085379</v>
      </c>
      <c r="H7" s="27">
        <v>1</v>
      </c>
      <c r="I7" s="27">
        <v>1</v>
      </c>
      <c r="J7" s="30">
        <v>1</v>
      </c>
      <c r="K7" s="27">
        <f>VLOOKUP(B7,'OR Q2'!$B$42:$E$57,'OR Q2'!$D$41,FALSE)</f>
        <v>0.99188178237368396</v>
      </c>
      <c r="L7" s="27">
        <f>VLOOKUP(B7,'OR Q2'!$B$42:$E$57,'OR Q2'!$C$41,FALSE)</f>
        <v>1.0194174757281553</v>
      </c>
      <c r="M7" s="27">
        <v>1.10828025477707</v>
      </c>
    </row>
    <row r="8" spans="2:13" x14ac:dyDescent="0.25">
      <c r="B8" s="14" t="s">
        <v>17</v>
      </c>
      <c r="C8" s="27">
        <v>1.022</v>
      </c>
      <c r="D8" s="27">
        <v>1.0840000000000001</v>
      </c>
      <c r="E8" s="30">
        <v>1</v>
      </c>
      <c r="F8" s="27">
        <v>1.0956999999999999</v>
      </c>
      <c r="G8" s="27">
        <v>1.044</v>
      </c>
      <c r="H8" s="27">
        <v>1</v>
      </c>
      <c r="I8" s="27">
        <v>1</v>
      </c>
      <c r="J8" s="30">
        <v>1</v>
      </c>
      <c r="K8" s="27">
        <v>0.83399999999999996</v>
      </c>
      <c r="L8" s="27">
        <v>1.0389999999999999</v>
      </c>
      <c r="M8" s="27">
        <v>0.82799999999999996</v>
      </c>
    </row>
    <row r="9" spans="2:13" x14ac:dyDescent="0.25">
      <c r="B9" s="14" t="s">
        <v>18</v>
      </c>
      <c r="C9" s="27">
        <f>VLOOKUP(B9,'OR Q2'!$G$61:$J$75,'OR Q2'!$H$60,FALSE)</f>
        <v>1.0542553191489363</v>
      </c>
      <c r="D9" s="27">
        <f>VLOOKUP(B9,'OR Q2'!$G$61:$J$75,'OR Q2'!$I$60,FALSE)</f>
        <v>1.0326315789473683</v>
      </c>
      <c r="E9" s="30">
        <v>1</v>
      </c>
      <c r="F9" s="27">
        <v>1.0069076996154176</v>
      </c>
      <c r="G9" s="27">
        <f>VLOOKUP(B9,'OR Q2'!$M$22:$S$36,'OR Q2'!$S$21,FALSE)</f>
        <v>1.0528938585293077</v>
      </c>
      <c r="H9" s="27">
        <v>1</v>
      </c>
      <c r="I9" s="27">
        <v>1</v>
      </c>
      <c r="J9" s="30">
        <v>1</v>
      </c>
      <c r="K9" s="27">
        <f>VLOOKUP(B9,'OR Q2'!$B$42:$E$57,'OR Q2'!$D$41,FALSE)</f>
        <v>0.96495887353855914</v>
      </c>
      <c r="L9" s="27">
        <f>VLOOKUP(B9,'OR Q2'!$B$42:$E$57,'OR Q2'!$C$41,FALSE)</f>
        <v>0.9882352941176471</v>
      </c>
      <c r="M9" s="27">
        <v>0.96616541353383456</v>
      </c>
    </row>
    <row r="10" spans="2:13" x14ac:dyDescent="0.25">
      <c r="B10" s="14" t="s">
        <v>19</v>
      </c>
      <c r="C10" s="99">
        <f>VLOOKUP(B10,'OR Q2'!$G$61:$J$75,'OR Q2'!$H$60,FALSE)</f>
        <v>1.1014285714285714</v>
      </c>
      <c r="D10" s="99">
        <f>VLOOKUP(B10,'OR Q2'!$G$61:$J$75,'OR Q2'!$I$60,FALSE)</f>
        <v>1.155421686746988</v>
      </c>
      <c r="E10" s="30">
        <v>1</v>
      </c>
      <c r="F10" s="99">
        <v>1.0857092306136893</v>
      </c>
      <c r="G10" s="99">
        <f>VLOOKUP(B10,'OR Q2'!$M$22:$S$36,'OR Q2'!$S$21,FALSE)</f>
        <v>1.0242626314439602</v>
      </c>
      <c r="H10" s="99">
        <v>1</v>
      </c>
      <c r="I10" s="99">
        <v>1</v>
      </c>
      <c r="J10" s="30">
        <v>1</v>
      </c>
      <c r="K10" s="99">
        <f>VLOOKUP(B10,'OR Q2'!$B$42:$E$57,'OR Q2'!$D$41,FALSE)</f>
        <v>1.0297694072668431</v>
      </c>
      <c r="L10" s="99">
        <f>VLOOKUP(B10,'OR Q2'!$B$42:$E$57,'OR Q2'!$C$41,FALSE)</f>
        <v>0.92079207920792083</v>
      </c>
      <c r="M10" s="99">
        <v>0.90266666666666662</v>
      </c>
    </row>
    <row r="11" spans="2:13" x14ac:dyDescent="0.25">
      <c r="B11" s="14" t="s">
        <v>20</v>
      </c>
      <c r="C11" s="99">
        <f>VLOOKUP(B11,'OR Q2'!$G$61:$J$75,'OR Q2'!$H$60,FALSE)</f>
        <v>0.89142857142857146</v>
      </c>
      <c r="D11" s="99">
        <f>VLOOKUP(B11,'OR Q2'!$G$61:$J$75,'OR Q2'!$I$60,FALSE)</f>
        <v>1.2048192771084338</v>
      </c>
      <c r="E11" s="30">
        <v>1</v>
      </c>
      <c r="F11" s="99">
        <v>1.0987458046281573</v>
      </c>
      <c r="G11" s="99">
        <f>VLOOKUP(B11,'OR Q2'!$M$22:$S$36,'OR Q2'!$S$21,FALSE)</f>
        <v>0.97719869706840379</v>
      </c>
      <c r="H11" s="99">
        <v>1</v>
      </c>
      <c r="I11" s="99">
        <v>1</v>
      </c>
      <c r="J11" s="30">
        <v>1</v>
      </c>
      <c r="K11" s="99">
        <f>VLOOKUP(B11,'OR Q2'!$B$42:$E$57,'OR Q2'!$D$41,FALSE)</f>
        <v>1.1040704099227405</v>
      </c>
      <c r="L11" s="99">
        <f>VLOOKUP(B11,'OR Q2'!$B$42:$E$57,'OR Q2'!$C$41,FALSE)</f>
        <v>1.0258620689655173</v>
      </c>
      <c r="M11" s="99">
        <v>0.91381345926800472</v>
      </c>
    </row>
    <row r="12" spans="2:13" x14ac:dyDescent="0.25">
      <c r="B12" s="14" t="s">
        <v>21</v>
      </c>
      <c r="C12" s="99">
        <f>VLOOKUP(B12,'OR Q2'!$G$61:$J$75,'OR Q2'!$H$60,FALSE)</f>
        <v>0.80714285714285716</v>
      </c>
      <c r="D12" s="99">
        <f>VLOOKUP(B12,'OR Q2'!$G$61:$J$75,'OR Q2'!$I$60,FALSE)</f>
        <v>1.1048192771084338</v>
      </c>
      <c r="E12" s="30">
        <v>1</v>
      </c>
      <c r="F12" s="99">
        <v>1.0716166403370195</v>
      </c>
      <c r="G12" s="99">
        <f>VLOOKUP(B12,'OR Q2'!$M$22:$S$36,'OR Q2'!$S$21,FALSE)</f>
        <v>0.89548546691403852</v>
      </c>
      <c r="H12" s="99">
        <v>1</v>
      </c>
      <c r="I12" s="99">
        <v>1</v>
      </c>
      <c r="J12" s="30">
        <v>1</v>
      </c>
      <c r="K12" s="99">
        <f>VLOOKUP(B12,'OR Q2'!$B$42:$E$57,'OR Q2'!$D$41,FALSE)</f>
        <v>1.1484138420733871</v>
      </c>
      <c r="L12" s="99">
        <f>VLOOKUP(B12,'OR Q2'!$B$42:$E$57,'OR Q2'!$C$41,FALSE)</f>
        <v>1.1195652173913044</v>
      </c>
      <c r="M12" s="99">
        <v>0.95133819951338194</v>
      </c>
    </row>
    <row r="13" spans="2:13" x14ac:dyDescent="0.25">
      <c r="B13" s="14" t="s">
        <v>22</v>
      </c>
      <c r="C13" s="99">
        <f>VLOOKUP(B13,'OR Q2'!$G$61:$J$75,'OR Q2'!$H$60,FALSE)</f>
        <v>1.1485714285714288</v>
      </c>
      <c r="D13" s="99">
        <f>VLOOKUP(B13,'OR Q2'!$G$61:$J$75,'OR Q2'!$I$60,FALSE)</f>
        <v>1.0829545454545455</v>
      </c>
      <c r="E13" s="30">
        <v>1</v>
      </c>
      <c r="F13" s="99">
        <v>1.1111111111111112</v>
      </c>
      <c r="G13" s="99">
        <f>VLOOKUP(B13,'OR Q2'!$M$22:$S$36,'OR Q2'!$S$21,FALSE)</f>
        <v>1.0096748381465046</v>
      </c>
      <c r="H13" s="99">
        <v>1</v>
      </c>
      <c r="I13" s="99">
        <v>1</v>
      </c>
      <c r="J13" s="30">
        <v>1</v>
      </c>
      <c r="K13" s="99">
        <f>VLOOKUP(B13,'OR Q2'!$B$42:$E$57,'OR Q2'!$D$41,FALSE)</f>
        <v>0.98328594775685363</v>
      </c>
      <c r="L13" s="99">
        <f>VLOOKUP(B13,'OR Q2'!$B$42:$E$57,'OR Q2'!$C$41,FALSE)</f>
        <v>0.94701986754966883</v>
      </c>
      <c r="M13" s="99">
        <v>0.88785046728971961</v>
      </c>
    </row>
    <row r="14" spans="2:13" x14ac:dyDescent="0.25">
      <c r="B14" s="14" t="s">
        <v>23</v>
      </c>
      <c r="C14" s="99">
        <f>VLOOKUP(B14,'OR Q2'!$G$61:$J$75,'OR Q2'!$H$60,FALSE)</f>
        <v>1.0213333333333334</v>
      </c>
      <c r="D14" s="99">
        <f>VLOOKUP(B14,'OR Q2'!$G$61:$J$75,'OR Q2'!$I$60,FALSE)</f>
        <v>0.94457831325301211</v>
      </c>
      <c r="E14" s="30">
        <v>1</v>
      </c>
      <c r="F14" s="99">
        <v>0.99721559268098647</v>
      </c>
      <c r="G14" s="99">
        <f>VLOOKUP(B14,'OR Q2'!$M$22:$S$36,'OR Q2'!$S$21,FALSE)</f>
        <v>0.83334666773341859</v>
      </c>
      <c r="H14" s="99">
        <v>1</v>
      </c>
      <c r="I14" s="99" t="s">
        <v>24</v>
      </c>
      <c r="J14" s="30">
        <v>1</v>
      </c>
      <c r="K14" s="99">
        <f>VLOOKUP(B14,'OR Q2'!$B$42:$E$57,'OR Q2'!$D$41,FALSE)</f>
        <v>1.2576626286340804</v>
      </c>
      <c r="L14" s="99">
        <f>VLOOKUP(B14,'OR Q2'!$B$42:$E$57,'OR Q2'!$C$41,FALSE)</f>
        <v>0.98561151079136711</v>
      </c>
      <c r="M14" s="99">
        <v>0.91508052708638365</v>
      </c>
    </row>
    <row r="15" spans="2:13" x14ac:dyDescent="0.25">
      <c r="B15" s="14" t="s">
        <v>25</v>
      </c>
      <c r="C15" s="99">
        <f>VLOOKUP(B15,'OR Q2'!$G$61:$J$75,'OR Q2'!$H$60,FALSE)</f>
        <v>1.0821428571428573</v>
      </c>
      <c r="D15" s="99">
        <f>VLOOKUP(B15,'OR Q2'!$G$61:$J$75,'OR Q2'!$I$60,FALSE)</f>
        <v>1.0444444444444443</v>
      </c>
      <c r="E15" s="30">
        <v>1</v>
      </c>
      <c r="F15" s="99">
        <v>0.96666666666666667</v>
      </c>
      <c r="G15" s="99">
        <f>VLOOKUP(B15,'OR Q2'!$M$22:$S$36,'OR Q2'!$S$21,FALSE)</f>
        <v>1.0406228842247798</v>
      </c>
      <c r="H15" s="99">
        <v>1</v>
      </c>
      <c r="I15" s="99" t="s">
        <v>24</v>
      </c>
      <c r="J15" s="30">
        <v>1</v>
      </c>
      <c r="K15" s="99">
        <f>VLOOKUP(B15,'OR Q2'!$B$42:$E$57,'OR Q2'!$D$41,FALSE)</f>
        <v>0.88794267128590265</v>
      </c>
      <c r="L15" s="99">
        <f>VLOOKUP(B15,'OR Q2'!$B$42:$E$57,'OR Q2'!$C$41,FALSE)</f>
        <v>0.89763779527559051</v>
      </c>
      <c r="M15" s="99">
        <v>0.81521739130434778</v>
      </c>
    </row>
    <row r="16" spans="2:13" x14ac:dyDescent="0.25">
      <c r="B16" s="14" t="s">
        <v>26</v>
      </c>
      <c r="C16" s="99">
        <f>VLOOKUP(B16,'OR Q2'!$G$61:$J$75,'OR Q2'!$H$60,FALSE)</f>
        <v>1.0376470588235294</v>
      </c>
      <c r="D16" s="99">
        <f>VLOOKUP(B16,'OR Q2'!$G$61:$J$75,'OR Q2'!$I$60,FALSE)</f>
        <v>1.0689655172413794</v>
      </c>
      <c r="E16" s="30">
        <v>1</v>
      </c>
      <c r="F16" s="99">
        <v>1.0926032293062735</v>
      </c>
      <c r="G16" s="99">
        <f>VLOOKUP(B16,'OR Q2'!$M$22:$S$36,'OR Q2'!$S$21,FALSE)</f>
        <v>0.96067730489095471</v>
      </c>
      <c r="H16" s="99">
        <v>1</v>
      </c>
      <c r="I16" s="99" t="s">
        <v>24</v>
      </c>
      <c r="J16" s="30">
        <v>1</v>
      </c>
      <c r="K16" s="99">
        <f>VLOOKUP(B16,'OR Q2'!$B$42:$E$57,'OR Q2'!$D$41,FALSE)</f>
        <v>0.89212234105619226</v>
      </c>
      <c r="L16" s="99">
        <f>VLOOKUP(B16,'OR Q2'!$B$42:$E$57,'OR Q2'!$C$41,FALSE)</f>
        <v>0.94186046511627919</v>
      </c>
      <c r="M16" s="99">
        <v>0.96134020618556704</v>
      </c>
    </row>
    <row r="17" spans="2:14" x14ac:dyDescent="0.25">
      <c r="B17" s="14" t="s">
        <v>27</v>
      </c>
      <c r="C17" s="99">
        <f>VLOOKUP(B17,'OR Q2'!$G$61:$J$75,'OR Q2'!$H$60,FALSE)</f>
        <v>0.76857142857142868</v>
      </c>
      <c r="D17" s="99">
        <f>VLOOKUP(B17,'OR Q2'!$G$61:$J$75,'OR Q2'!$I$60,FALSE)</f>
        <v>1.0625</v>
      </c>
      <c r="E17" s="30">
        <v>1</v>
      </c>
      <c r="F17" s="99">
        <v>0.90102442810934147</v>
      </c>
      <c r="G17" s="99">
        <v>0.76</v>
      </c>
      <c r="H17" s="99">
        <v>1</v>
      </c>
      <c r="I17" s="99" t="s">
        <v>24</v>
      </c>
      <c r="J17" s="30">
        <v>1</v>
      </c>
      <c r="K17" s="99">
        <f>VLOOKUP(B17,'OR Q2'!$B$42:$E$57,'OR Q2'!$D$41,FALSE)</f>
        <v>2.0844035635774616</v>
      </c>
      <c r="L17" s="99">
        <f>VLOOKUP(B17,'OR Q2'!$B$42:$E$57,'OR Q2'!$C$41,FALSE)</f>
        <v>0.96290726817042616</v>
      </c>
      <c r="M17" s="99">
        <v>0.89483065953654184</v>
      </c>
    </row>
    <row r="18" spans="2:14" x14ac:dyDescent="0.25">
      <c r="B18" s="29" t="s">
        <v>78</v>
      </c>
      <c r="C18" s="86"/>
      <c r="D18" s="86"/>
      <c r="E18" s="30">
        <v>1</v>
      </c>
      <c r="F18" s="27">
        <v>0.59746538171816344</v>
      </c>
      <c r="G18" s="27">
        <f>'OR Q2'!Y18</f>
        <v>0.86946677233103109</v>
      </c>
      <c r="H18" s="27">
        <v>0.5</v>
      </c>
      <c r="I18" s="27" t="s">
        <v>24</v>
      </c>
      <c r="J18" s="30">
        <v>1</v>
      </c>
      <c r="K18" s="27">
        <f>VLOOKUP(B18,'OR Q2'!$B$42:$E$57,'OR Q2'!$D$41,FALSE)</f>
        <v>1.6214</v>
      </c>
      <c r="L18" s="27">
        <f>VLOOKUP(B18,'OR Q2'!$B$42:$E$57,'OR Q2'!$C$41,FALSE)</f>
        <v>1.0466138962181177</v>
      </c>
      <c r="M18" s="27">
        <v>0.84210526315789469</v>
      </c>
    </row>
    <row r="21" spans="2:14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4" x14ac:dyDescent="0.25">
      <c r="B22" s="14" t="s">
        <v>13</v>
      </c>
      <c r="C22" s="31">
        <v>0.06</v>
      </c>
      <c r="D22" s="31">
        <v>0.06</v>
      </c>
      <c r="E22" s="31">
        <v>0.05</v>
      </c>
      <c r="F22" s="31">
        <v>0.04</v>
      </c>
      <c r="G22" s="31">
        <v>0.04</v>
      </c>
      <c r="H22" s="31">
        <v>0.05</v>
      </c>
      <c r="I22" s="31">
        <v>0.03</v>
      </c>
      <c r="J22" s="31">
        <v>7.0000000000000007E-2</v>
      </c>
      <c r="K22" s="31">
        <v>0.2</v>
      </c>
      <c r="L22" s="31">
        <v>0.1</v>
      </c>
      <c r="M22" s="31">
        <v>0.3</v>
      </c>
      <c r="N22" s="97">
        <f>SUM(C22:M22)</f>
        <v>1</v>
      </c>
    </row>
    <row r="23" spans="2:14" x14ac:dyDescent="0.25">
      <c r="B23" s="14" t="s">
        <v>14</v>
      </c>
      <c r="C23" s="31">
        <v>0.06</v>
      </c>
      <c r="D23" s="31">
        <v>0.06</v>
      </c>
      <c r="E23" s="31">
        <v>0.05</v>
      </c>
      <c r="F23" s="31">
        <v>0.04</v>
      </c>
      <c r="G23" s="31">
        <v>0.04</v>
      </c>
      <c r="H23" s="31">
        <v>0.05</v>
      </c>
      <c r="I23" s="31">
        <v>0.03</v>
      </c>
      <c r="J23" s="31">
        <v>7.0000000000000007E-2</v>
      </c>
      <c r="K23" s="31">
        <v>0.2</v>
      </c>
      <c r="L23" s="31">
        <v>0.1</v>
      </c>
      <c r="M23" s="31">
        <v>0.3</v>
      </c>
      <c r="N23" s="97">
        <f t="shared" ref="N23:N34" si="0">SUM(C23:M23)</f>
        <v>1</v>
      </c>
    </row>
    <row r="24" spans="2:14" x14ac:dyDescent="0.25">
      <c r="B24" s="14" t="s">
        <v>15</v>
      </c>
      <c r="C24" s="31">
        <v>0.06</v>
      </c>
      <c r="D24" s="31">
        <v>0.06</v>
      </c>
      <c r="E24" s="31">
        <v>0.05</v>
      </c>
      <c r="F24" s="31">
        <v>0.04</v>
      </c>
      <c r="G24" s="31">
        <v>0.04</v>
      </c>
      <c r="H24" s="31">
        <v>0.05</v>
      </c>
      <c r="I24" s="31">
        <v>0.03</v>
      </c>
      <c r="J24" s="31">
        <v>7.0000000000000007E-2</v>
      </c>
      <c r="K24" s="31">
        <v>0.2</v>
      </c>
      <c r="L24" s="31">
        <v>0.1</v>
      </c>
      <c r="M24" s="31">
        <v>0.3</v>
      </c>
      <c r="N24" s="97">
        <f t="shared" si="0"/>
        <v>1</v>
      </c>
    </row>
    <row r="25" spans="2:14" x14ac:dyDescent="0.25">
      <c r="B25" s="14" t="s">
        <v>16</v>
      </c>
      <c r="C25" s="31">
        <v>0.06</v>
      </c>
      <c r="D25" s="31">
        <v>0.06</v>
      </c>
      <c r="E25" s="31">
        <v>0.05</v>
      </c>
      <c r="F25" s="31">
        <v>0.04</v>
      </c>
      <c r="G25" s="31">
        <v>0.04</v>
      </c>
      <c r="H25" s="31">
        <v>0.05</v>
      </c>
      <c r="I25" s="31">
        <v>0.03</v>
      </c>
      <c r="J25" s="31">
        <v>7.0000000000000007E-2</v>
      </c>
      <c r="K25" s="31">
        <v>0.2</v>
      </c>
      <c r="L25" s="31">
        <v>0.1</v>
      </c>
      <c r="M25" s="31">
        <v>0.3</v>
      </c>
      <c r="N25" s="97">
        <f t="shared" si="0"/>
        <v>1</v>
      </c>
    </row>
    <row r="26" spans="2:14" x14ac:dyDescent="0.25">
      <c r="B26" s="14" t="s">
        <v>17</v>
      </c>
      <c r="C26" s="31">
        <v>0.06</v>
      </c>
      <c r="D26" s="31">
        <v>0.06</v>
      </c>
      <c r="E26" s="31">
        <v>0.05</v>
      </c>
      <c r="F26" s="31">
        <v>0.04</v>
      </c>
      <c r="G26" s="31">
        <v>0.04</v>
      </c>
      <c r="H26" s="31">
        <v>0.05</v>
      </c>
      <c r="I26" s="31">
        <v>0.03</v>
      </c>
      <c r="J26" s="31">
        <v>7.0000000000000007E-2</v>
      </c>
      <c r="K26" s="31">
        <v>0.2</v>
      </c>
      <c r="L26" s="31">
        <v>0.1</v>
      </c>
      <c r="M26" s="31">
        <v>0.3</v>
      </c>
      <c r="N26" s="97">
        <f t="shared" si="0"/>
        <v>1</v>
      </c>
    </row>
    <row r="27" spans="2:14" x14ac:dyDescent="0.25">
      <c r="B27" s="14" t="s">
        <v>18</v>
      </c>
      <c r="C27" s="31">
        <v>0.06</v>
      </c>
      <c r="D27" s="31">
        <v>0.06</v>
      </c>
      <c r="E27" s="31">
        <v>0.05</v>
      </c>
      <c r="F27" s="31">
        <v>0.04</v>
      </c>
      <c r="G27" s="31">
        <v>0.04</v>
      </c>
      <c r="H27" s="31">
        <v>0.05</v>
      </c>
      <c r="I27" s="31">
        <v>0.03</v>
      </c>
      <c r="J27" s="31">
        <v>7.0000000000000007E-2</v>
      </c>
      <c r="K27" s="31">
        <v>0.2</v>
      </c>
      <c r="L27" s="31">
        <v>0.1</v>
      </c>
      <c r="M27" s="31">
        <v>0.3</v>
      </c>
      <c r="N27" s="97">
        <f t="shared" si="0"/>
        <v>1</v>
      </c>
    </row>
    <row r="28" spans="2:14" x14ac:dyDescent="0.25">
      <c r="B28" s="14" t="s">
        <v>19</v>
      </c>
      <c r="C28" s="31">
        <v>0.06</v>
      </c>
      <c r="D28" s="31">
        <v>0.06</v>
      </c>
      <c r="E28" s="31">
        <v>0.05</v>
      </c>
      <c r="F28" s="31">
        <v>0.04</v>
      </c>
      <c r="G28" s="31">
        <v>0.04</v>
      </c>
      <c r="H28" s="31">
        <v>0.05</v>
      </c>
      <c r="I28" s="31">
        <v>0.03</v>
      </c>
      <c r="J28" s="31">
        <v>7.0000000000000007E-2</v>
      </c>
      <c r="K28" s="31">
        <v>0.2</v>
      </c>
      <c r="L28" s="31">
        <v>0.1</v>
      </c>
      <c r="M28" s="31">
        <v>0.3</v>
      </c>
      <c r="N28" s="97">
        <f t="shared" si="0"/>
        <v>1</v>
      </c>
    </row>
    <row r="29" spans="2:14" x14ac:dyDescent="0.25">
      <c r="B29" s="14" t="s">
        <v>20</v>
      </c>
      <c r="C29" s="31">
        <v>0.06</v>
      </c>
      <c r="D29" s="31">
        <v>0.06</v>
      </c>
      <c r="E29" s="31">
        <v>0.05</v>
      </c>
      <c r="F29" s="31">
        <v>0.04</v>
      </c>
      <c r="G29" s="31">
        <v>0.04</v>
      </c>
      <c r="H29" s="31">
        <v>0.05</v>
      </c>
      <c r="I29" s="31">
        <v>0.03</v>
      </c>
      <c r="J29" s="31">
        <v>7.0000000000000007E-2</v>
      </c>
      <c r="K29" s="31">
        <v>0.2</v>
      </c>
      <c r="L29" s="31">
        <v>0.1</v>
      </c>
      <c r="M29" s="31">
        <v>0.3</v>
      </c>
      <c r="N29" s="97">
        <f t="shared" si="0"/>
        <v>1</v>
      </c>
    </row>
    <row r="30" spans="2:14" x14ac:dyDescent="0.25">
      <c r="B30" s="14" t="s">
        <v>21</v>
      </c>
      <c r="C30" s="31">
        <v>0.06</v>
      </c>
      <c r="D30" s="31">
        <v>0.06</v>
      </c>
      <c r="E30" s="31">
        <v>0.05</v>
      </c>
      <c r="F30" s="31">
        <v>0.04</v>
      </c>
      <c r="G30" s="31">
        <v>0.04</v>
      </c>
      <c r="H30" s="31">
        <v>0.05</v>
      </c>
      <c r="I30" s="31">
        <v>0.03</v>
      </c>
      <c r="J30" s="31">
        <v>7.0000000000000007E-2</v>
      </c>
      <c r="K30" s="31">
        <v>0.2</v>
      </c>
      <c r="L30" s="31">
        <v>0.1</v>
      </c>
      <c r="M30" s="31">
        <v>0.3</v>
      </c>
      <c r="N30" s="97">
        <f t="shared" si="0"/>
        <v>1</v>
      </c>
    </row>
    <row r="31" spans="2:14" x14ac:dyDescent="0.25">
      <c r="B31" s="14" t="s">
        <v>22</v>
      </c>
      <c r="C31" s="31">
        <v>0.06</v>
      </c>
      <c r="D31" s="31">
        <v>0.06</v>
      </c>
      <c r="E31" s="31">
        <v>0.05</v>
      </c>
      <c r="F31" s="31">
        <v>0.04</v>
      </c>
      <c r="G31" s="31">
        <v>0.04</v>
      </c>
      <c r="H31" s="31">
        <v>0.05</v>
      </c>
      <c r="I31" s="31">
        <v>0.03</v>
      </c>
      <c r="J31" s="31">
        <v>7.0000000000000007E-2</v>
      </c>
      <c r="K31" s="31">
        <v>0.2</v>
      </c>
      <c r="L31" s="31">
        <v>0.1</v>
      </c>
      <c r="M31" s="31">
        <v>0.3</v>
      </c>
      <c r="N31" s="97">
        <f t="shared" si="0"/>
        <v>1</v>
      </c>
    </row>
    <row r="32" spans="2:14" x14ac:dyDescent="0.25">
      <c r="B32" s="14" t="s">
        <v>23</v>
      </c>
      <c r="C32" s="31">
        <v>0.06</v>
      </c>
      <c r="D32" s="31">
        <v>0.06</v>
      </c>
      <c r="E32" s="31">
        <v>0.05</v>
      </c>
      <c r="F32" s="31">
        <v>0.04</v>
      </c>
      <c r="G32" s="31">
        <v>0.04</v>
      </c>
      <c r="H32" s="31">
        <v>0.05</v>
      </c>
      <c r="I32" s="73" t="s">
        <v>24</v>
      </c>
      <c r="J32" s="31">
        <v>0.1</v>
      </c>
      <c r="K32" s="31">
        <v>0.2</v>
      </c>
      <c r="L32" s="31">
        <v>0.1</v>
      </c>
      <c r="M32" s="31">
        <v>0.3</v>
      </c>
      <c r="N32" s="97">
        <f t="shared" si="0"/>
        <v>1</v>
      </c>
    </row>
    <row r="33" spans="2:14" x14ac:dyDescent="0.25">
      <c r="B33" s="14" t="s">
        <v>25</v>
      </c>
      <c r="C33" s="31">
        <v>0.06</v>
      </c>
      <c r="D33" s="31">
        <v>0.06</v>
      </c>
      <c r="E33" s="31">
        <v>0.05</v>
      </c>
      <c r="F33" s="31">
        <v>0.04</v>
      </c>
      <c r="G33" s="31">
        <v>0.04</v>
      </c>
      <c r="H33" s="31">
        <v>0.05</v>
      </c>
      <c r="I33" s="73" t="s">
        <v>24</v>
      </c>
      <c r="J33" s="31">
        <v>0.1</v>
      </c>
      <c r="K33" s="31">
        <v>0.2</v>
      </c>
      <c r="L33" s="31">
        <v>0.1</v>
      </c>
      <c r="M33" s="31">
        <v>0.3</v>
      </c>
      <c r="N33" s="97">
        <f t="shared" si="0"/>
        <v>1</v>
      </c>
    </row>
    <row r="34" spans="2:14" x14ac:dyDescent="0.25">
      <c r="B34" s="14" t="s">
        <v>26</v>
      </c>
      <c r="C34" s="31">
        <v>0.06</v>
      </c>
      <c r="D34" s="31">
        <v>0.06</v>
      </c>
      <c r="E34" s="31">
        <v>0.05</v>
      </c>
      <c r="F34" s="31">
        <v>0.04</v>
      </c>
      <c r="G34" s="31">
        <v>0.04</v>
      </c>
      <c r="H34" s="31">
        <v>0.05</v>
      </c>
      <c r="I34" s="73" t="s">
        <v>24</v>
      </c>
      <c r="J34" s="31">
        <v>0.1</v>
      </c>
      <c r="K34" s="31">
        <v>0.2</v>
      </c>
      <c r="L34" s="31">
        <v>0.1</v>
      </c>
      <c r="M34" s="31">
        <v>0.3</v>
      </c>
      <c r="N34" s="97">
        <f t="shared" si="0"/>
        <v>1</v>
      </c>
    </row>
    <row r="35" spans="2:14" x14ac:dyDescent="0.25">
      <c r="B35" s="14" t="s">
        <v>27</v>
      </c>
      <c r="C35" s="31">
        <v>0.06</v>
      </c>
      <c r="D35" s="31">
        <v>0.06</v>
      </c>
      <c r="E35" s="31">
        <v>0.05</v>
      </c>
      <c r="F35" s="31">
        <v>0.04</v>
      </c>
      <c r="G35" s="31">
        <v>0.04</v>
      </c>
      <c r="H35" s="31">
        <v>0.05</v>
      </c>
      <c r="I35" s="73" t="s">
        <v>24</v>
      </c>
      <c r="J35" s="31">
        <v>0.1</v>
      </c>
      <c r="K35" s="31">
        <v>0.2</v>
      </c>
      <c r="L35" s="31">
        <v>0.1</v>
      </c>
      <c r="M35" s="31">
        <v>0.3</v>
      </c>
      <c r="N35" s="97">
        <f>SUM(C35:M35)</f>
        <v>1</v>
      </c>
    </row>
    <row r="36" spans="2:14" x14ac:dyDescent="0.25">
      <c r="B36" s="29" t="s">
        <v>28</v>
      </c>
      <c r="C36" s="31" t="s">
        <v>24</v>
      </c>
      <c r="D36" s="31" t="s">
        <v>24</v>
      </c>
      <c r="E36" s="31">
        <v>0.05</v>
      </c>
      <c r="F36" s="31">
        <v>0.05</v>
      </c>
      <c r="G36" s="31">
        <v>0.05</v>
      </c>
      <c r="H36" s="31">
        <v>0.05</v>
      </c>
      <c r="I36" s="27" t="s">
        <v>24</v>
      </c>
      <c r="J36" s="31">
        <v>0.1</v>
      </c>
      <c r="K36" s="31">
        <v>0.25</v>
      </c>
      <c r="L36" s="31">
        <v>0.1</v>
      </c>
      <c r="M36" s="31">
        <v>0.35</v>
      </c>
      <c r="N36" s="97">
        <f>SUM(C36:M36)</f>
        <v>1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7">
        <f>IF(C4&gt;=100%,C22,(C4*C22)/100%)</f>
        <v>0.06</v>
      </c>
      <c r="D40" s="27">
        <f t="shared" ref="D40:M40" si="1">IF(D4&gt;=100%,D22,(D4*D22)/100%)</f>
        <v>0.06</v>
      </c>
      <c r="E40" s="27">
        <f t="shared" si="1"/>
        <v>0.05</v>
      </c>
      <c r="F40" s="27">
        <f t="shared" si="1"/>
        <v>3.8680662229049333E-2</v>
      </c>
      <c r="G40" s="27">
        <f t="shared" si="1"/>
        <v>0.04</v>
      </c>
      <c r="H40" s="27">
        <f t="shared" si="1"/>
        <v>0.05</v>
      </c>
      <c r="I40" s="27">
        <f t="shared" si="1"/>
        <v>0.03</v>
      </c>
      <c r="J40" s="27">
        <f t="shared" si="1"/>
        <v>7.0000000000000007E-2</v>
      </c>
      <c r="K40" s="27">
        <f t="shared" si="1"/>
        <v>0.2</v>
      </c>
      <c r="L40" s="27">
        <f t="shared" si="1"/>
        <v>0.1</v>
      </c>
      <c r="M40" s="27">
        <f t="shared" si="1"/>
        <v>0.3</v>
      </c>
      <c r="N40" s="97">
        <f>SUM(C40:M40)</f>
        <v>0.99868066222904939</v>
      </c>
    </row>
    <row r="41" spans="2:14" x14ac:dyDescent="0.25">
      <c r="B41" s="14" t="s">
        <v>14</v>
      </c>
      <c r="C41" s="27">
        <f t="shared" ref="C41:M54" si="2">IF(C5&gt;=100%,C23,(C5*C23)/100%)</f>
        <v>0.06</v>
      </c>
      <c r="D41" s="27">
        <f t="shared" si="2"/>
        <v>0.06</v>
      </c>
      <c r="E41" s="27">
        <f t="shared" si="2"/>
        <v>0.05</v>
      </c>
      <c r="F41" s="27">
        <f t="shared" si="2"/>
        <v>0</v>
      </c>
      <c r="G41" s="27">
        <f t="shared" si="2"/>
        <v>3.8531882965855267E-2</v>
      </c>
      <c r="H41" s="27">
        <f t="shared" si="2"/>
        <v>2.5000000000000001E-2</v>
      </c>
      <c r="I41" s="27">
        <f t="shared" si="2"/>
        <v>0.03</v>
      </c>
      <c r="J41" s="27">
        <f t="shared" si="2"/>
        <v>7.0000000000000007E-2</v>
      </c>
      <c r="K41" s="27">
        <f t="shared" si="2"/>
        <v>0.17116072092957449</v>
      </c>
      <c r="L41" s="27">
        <f t="shared" si="2"/>
        <v>0.1</v>
      </c>
      <c r="M41" s="27">
        <f t="shared" si="2"/>
        <v>0.25908119658119655</v>
      </c>
      <c r="N41" s="97">
        <f t="shared" ref="N41:N54" si="3">SUM(C41:M41)</f>
        <v>0.86377380047662633</v>
      </c>
    </row>
    <row r="42" spans="2:14" x14ac:dyDescent="0.25">
      <c r="B42" s="14" t="s">
        <v>15</v>
      </c>
      <c r="C42" s="27">
        <f t="shared" si="2"/>
        <v>0.06</v>
      </c>
      <c r="D42" s="27">
        <f t="shared" si="2"/>
        <v>0.06</v>
      </c>
      <c r="E42" s="27">
        <f t="shared" si="2"/>
        <v>0.05</v>
      </c>
      <c r="F42" s="27">
        <f t="shared" si="2"/>
        <v>0.04</v>
      </c>
      <c r="G42" s="27">
        <f t="shared" si="2"/>
        <v>0.04</v>
      </c>
      <c r="H42" s="27">
        <f t="shared" si="2"/>
        <v>0.05</v>
      </c>
      <c r="I42" s="27">
        <f t="shared" si="2"/>
        <v>0.03</v>
      </c>
      <c r="J42" s="27">
        <f t="shared" si="2"/>
        <v>7.0000000000000007E-2</v>
      </c>
      <c r="K42" s="27">
        <f t="shared" si="2"/>
        <v>0.2</v>
      </c>
      <c r="L42" s="27">
        <f t="shared" si="2"/>
        <v>0.1</v>
      </c>
      <c r="M42" s="27">
        <f t="shared" si="2"/>
        <v>0.3</v>
      </c>
      <c r="N42" s="97">
        <f t="shared" si="3"/>
        <v>1</v>
      </c>
    </row>
    <row r="43" spans="2:14" x14ac:dyDescent="0.25">
      <c r="B43" s="14" t="s">
        <v>16</v>
      </c>
      <c r="C43" s="27">
        <f t="shared" si="2"/>
        <v>0.06</v>
      </c>
      <c r="D43" s="27">
        <f t="shared" si="2"/>
        <v>0.06</v>
      </c>
      <c r="E43" s="27">
        <f t="shared" si="2"/>
        <v>0.05</v>
      </c>
      <c r="F43" s="27">
        <f t="shared" si="2"/>
        <v>0.04</v>
      </c>
      <c r="G43" s="27">
        <f t="shared" si="2"/>
        <v>0.04</v>
      </c>
      <c r="H43" s="27">
        <f t="shared" si="2"/>
        <v>0.05</v>
      </c>
      <c r="I43" s="27">
        <f t="shared" si="2"/>
        <v>0.03</v>
      </c>
      <c r="J43" s="27">
        <f t="shared" si="2"/>
        <v>7.0000000000000007E-2</v>
      </c>
      <c r="K43" s="27">
        <f t="shared" si="2"/>
        <v>0.19837635647473681</v>
      </c>
      <c r="L43" s="27">
        <f t="shared" si="2"/>
        <v>0.1</v>
      </c>
      <c r="M43" s="27">
        <f t="shared" si="2"/>
        <v>0.3</v>
      </c>
      <c r="N43" s="97">
        <f t="shared" si="3"/>
        <v>0.99837635647473677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0.1668</v>
      </c>
      <c r="L44" s="21">
        <f t="shared" si="2"/>
        <v>0.1</v>
      </c>
      <c r="M44" s="21">
        <f t="shared" si="2"/>
        <v>0.24839999999999998</v>
      </c>
      <c r="N44" s="128">
        <f t="shared" si="3"/>
        <v>0.9151999999999999</v>
      </c>
    </row>
    <row r="45" spans="2:14" x14ac:dyDescent="0.25">
      <c r="B45" s="14" t="s">
        <v>18</v>
      </c>
      <c r="C45" s="27">
        <f t="shared" si="2"/>
        <v>0.06</v>
      </c>
      <c r="D45" s="27">
        <f t="shared" si="2"/>
        <v>0.06</v>
      </c>
      <c r="E45" s="27">
        <f t="shared" si="2"/>
        <v>0.05</v>
      </c>
      <c r="F45" s="27">
        <f t="shared" si="2"/>
        <v>0.04</v>
      </c>
      <c r="G45" s="27">
        <f t="shared" si="2"/>
        <v>0.04</v>
      </c>
      <c r="H45" s="27">
        <f t="shared" si="2"/>
        <v>0.05</v>
      </c>
      <c r="I45" s="27">
        <f t="shared" si="2"/>
        <v>0.03</v>
      </c>
      <c r="J45" s="27">
        <f t="shared" si="2"/>
        <v>7.0000000000000007E-2</v>
      </c>
      <c r="K45" s="27">
        <f t="shared" si="2"/>
        <v>0.19299177470771184</v>
      </c>
      <c r="L45" s="27">
        <f t="shared" si="2"/>
        <v>9.8823529411764713E-2</v>
      </c>
      <c r="M45" s="27">
        <f t="shared" si="2"/>
        <v>0.28984962406015036</v>
      </c>
      <c r="N45" s="97">
        <f t="shared" si="3"/>
        <v>0.98166492817962692</v>
      </c>
    </row>
    <row r="46" spans="2:14" x14ac:dyDescent="0.25">
      <c r="B46" s="14" t="s">
        <v>19</v>
      </c>
      <c r="C46" s="27">
        <f t="shared" si="2"/>
        <v>0.06</v>
      </c>
      <c r="D46" s="27">
        <f t="shared" si="2"/>
        <v>0.06</v>
      </c>
      <c r="E46" s="27">
        <f t="shared" si="2"/>
        <v>0.05</v>
      </c>
      <c r="F46" s="27">
        <f t="shared" si="2"/>
        <v>0.04</v>
      </c>
      <c r="G46" s="27">
        <f t="shared" si="2"/>
        <v>0.04</v>
      </c>
      <c r="H46" s="27">
        <f t="shared" si="2"/>
        <v>0.05</v>
      </c>
      <c r="I46" s="27">
        <f t="shared" si="2"/>
        <v>0.03</v>
      </c>
      <c r="J46" s="27">
        <f t="shared" si="2"/>
        <v>7.0000000000000007E-2</v>
      </c>
      <c r="K46" s="27">
        <f t="shared" si="2"/>
        <v>0.2</v>
      </c>
      <c r="L46" s="27">
        <f t="shared" si="2"/>
        <v>9.2079207920792092E-2</v>
      </c>
      <c r="M46" s="27">
        <f t="shared" si="2"/>
        <v>0.27079999999999999</v>
      </c>
      <c r="N46" s="97">
        <f t="shared" si="3"/>
        <v>0.96287920792079196</v>
      </c>
    </row>
    <row r="47" spans="2:14" x14ac:dyDescent="0.25">
      <c r="B47" s="14" t="s">
        <v>20</v>
      </c>
      <c r="C47" s="27">
        <f t="shared" si="2"/>
        <v>5.3485714285714282E-2</v>
      </c>
      <c r="D47" s="27">
        <f t="shared" si="2"/>
        <v>0.06</v>
      </c>
      <c r="E47" s="27">
        <f t="shared" si="2"/>
        <v>0.05</v>
      </c>
      <c r="F47" s="27">
        <f t="shared" si="2"/>
        <v>0.04</v>
      </c>
      <c r="G47" s="27">
        <f t="shared" si="2"/>
        <v>3.9087947882736153E-2</v>
      </c>
      <c r="H47" s="27">
        <f t="shared" si="2"/>
        <v>0.05</v>
      </c>
      <c r="I47" s="27">
        <f t="shared" si="2"/>
        <v>0.03</v>
      </c>
      <c r="J47" s="27">
        <f t="shared" si="2"/>
        <v>7.0000000000000007E-2</v>
      </c>
      <c r="K47" s="27">
        <f t="shared" si="2"/>
        <v>0.2</v>
      </c>
      <c r="L47" s="27">
        <f t="shared" si="2"/>
        <v>0.1</v>
      </c>
      <c r="M47" s="27">
        <f t="shared" si="2"/>
        <v>0.27414403778040142</v>
      </c>
      <c r="N47" s="97">
        <f t="shared" si="3"/>
        <v>0.96671769994885182</v>
      </c>
    </row>
    <row r="48" spans="2:14" x14ac:dyDescent="0.25">
      <c r="B48" s="14" t="s">
        <v>21</v>
      </c>
      <c r="C48" s="27">
        <f t="shared" si="2"/>
        <v>4.8428571428571425E-2</v>
      </c>
      <c r="D48" s="27">
        <f t="shared" si="2"/>
        <v>0.06</v>
      </c>
      <c r="E48" s="27">
        <f t="shared" si="2"/>
        <v>0.05</v>
      </c>
      <c r="F48" s="27">
        <f t="shared" si="2"/>
        <v>0.04</v>
      </c>
      <c r="G48" s="27">
        <f t="shared" si="2"/>
        <v>3.5819418676561542E-2</v>
      </c>
      <c r="H48" s="27">
        <f t="shared" si="2"/>
        <v>0.05</v>
      </c>
      <c r="I48" s="27">
        <f t="shared" si="2"/>
        <v>0.03</v>
      </c>
      <c r="J48" s="27">
        <f t="shared" si="2"/>
        <v>7.0000000000000007E-2</v>
      </c>
      <c r="K48" s="27">
        <f t="shared" si="2"/>
        <v>0.2</v>
      </c>
      <c r="L48" s="27">
        <f t="shared" si="2"/>
        <v>0.1</v>
      </c>
      <c r="M48" s="27">
        <f t="shared" si="2"/>
        <v>0.28540145985401455</v>
      </c>
      <c r="N48" s="97">
        <f t="shared" si="3"/>
        <v>0.96964944995914748</v>
      </c>
    </row>
    <row r="49" spans="2:14" x14ac:dyDescent="0.25">
      <c r="B49" s="14" t="s">
        <v>22</v>
      </c>
      <c r="C49" s="27">
        <f t="shared" si="2"/>
        <v>0.06</v>
      </c>
      <c r="D49" s="27">
        <f t="shared" si="2"/>
        <v>0.06</v>
      </c>
      <c r="E49" s="27">
        <f t="shared" si="2"/>
        <v>0.05</v>
      </c>
      <c r="F49" s="27">
        <f t="shared" si="2"/>
        <v>0.04</v>
      </c>
      <c r="G49" s="27">
        <f t="shared" si="2"/>
        <v>0.04</v>
      </c>
      <c r="H49" s="27">
        <f t="shared" si="2"/>
        <v>0.05</v>
      </c>
      <c r="I49" s="27">
        <f t="shared" si="2"/>
        <v>0.03</v>
      </c>
      <c r="J49" s="27">
        <f t="shared" si="2"/>
        <v>7.0000000000000007E-2</v>
      </c>
      <c r="K49" s="27">
        <f t="shared" si="2"/>
        <v>0.19665718955137074</v>
      </c>
      <c r="L49" s="27">
        <f t="shared" si="2"/>
        <v>9.4701986754966883E-2</v>
      </c>
      <c r="M49" s="27">
        <f t="shared" si="2"/>
        <v>0.26635514018691586</v>
      </c>
      <c r="N49" s="97">
        <f t="shared" si="3"/>
        <v>0.95771431649325345</v>
      </c>
    </row>
    <row r="50" spans="2:14" x14ac:dyDescent="0.25">
      <c r="B50" s="14" t="s">
        <v>23</v>
      </c>
      <c r="C50" s="27">
        <f t="shared" si="2"/>
        <v>0.06</v>
      </c>
      <c r="D50" s="27">
        <f t="shared" si="2"/>
        <v>5.6674698795180722E-2</v>
      </c>
      <c r="E50" s="27">
        <f t="shared" si="2"/>
        <v>0.05</v>
      </c>
      <c r="F50" s="27">
        <f t="shared" si="2"/>
        <v>3.9888623707239459E-2</v>
      </c>
      <c r="G50" s="27">
        <f t="shared" si="2"/>
        <v>3.3333866709336746E-2</v>
      </c>
      <c r="H50" s="27">
        <f t="shared" si="2"/>
        <v>0.05</v>
      </c>
      <c r="I50" s="27" t="s">
        <v>24</v>
      </c>
      <c r="J50" s="27">
        <f t="shared" si="2"/>
        <v>0.1</v>
      </c>
      <c r="K50" s="27">
        <f t="shared" si="2"/>
        <v>0.2</v>
      </c>
      <c r="L50" s="27">
        <f t="shared" si="2"/>
        <v>9.8561151079136711E-2</v>
      </c>
      <c r="M50" s="27">
        <f t="shared" si="2"/>
        <v>0.27452415812591507</v>
      </c>
      <c r="N50" s="97">
        <f t="shared" si="3"/>
        <v>0.9629824984168085</v>
      </c>
    </row>
    <row r="51" spans="2:14" x14ac:dyDescent="0.25">
      <c r="B51" s="14" t="s">
        <v>25</v>
      </c>
      <c r="C51" s="27">
        <f t="shared" si="2"/>
        <v>0.06</v>
      </c>
      <c r="D51" s="27">
        <f t="shared" si="2"/>
        <v>0.06</v>
      </c>
      <c r="E51" s="27">
        <f t="shared" si="2"/>
        <v>0.05</v>
      </c>
      <c r="F51" s="27">
        <f t="shared" si="2"/>
        <v>3.8666666666666669E-2</v>
      </c>
      <c r="G51" s="27">
        <f t="shared" si="2"/>
        <v>0.04</v>
      </c>
      <c r="H51" s="27">
        <f t="shared" si="2"/>
        <v>0.05</v>
      </c>
      <c r="I51" s="27" t="s">
        <v>24</v>
      </c>
      <c r="J51" s="27">
        <f t="shared" si="2"/>
        <v>0.1</v>
      </c>
      <c r="K51" s="27">
        <f t="shared" si="2"/>
        <v>0.17758853425718055</v>
      </c>
      <c r="L51" s="27">
        <f t="shared" si="2"/>
        <v>8.9763779527559054E-2</v>
      </c>
      <c r="M51" s="27">
        <f t="shared" si="2"/>
        <v>0.24456521739130432</v>
      </c>
      <c r="N51" s="97">
        <f t="shared" si="3"/>
        <v>0.91058419784271072</v>
      </c>
    </row>
    <row r="52" spans="2:14" x14ac:dyDescent="0.25">
      <c r="B52" s="14" t="s">
        <v>26</v>
      </c>
      <c r="C52" s="27">
        <f t="shared" si="2"/>
        <v>0.06</v>
      </c>
      <c r="D52" s="27">
        <f t="shared" si="2"/>
        <v>0.06</v>
      </c>
      <c r="E52" s="27">
        <f t="shared" si="2"/>
        <v>0.05</v>
      </c>
      <c r="F52" s="27">
        <f t="shared" si="2"/>
        <v>0.04</v>
      </c>
      <c r="G52" s="27">
        <f t="shared" si="2"/>
        <v>3.8427092195638189E-2</v>
      </c>
      <c r="H52" s="27">
        <f t="shared" si="2"/>
        <v>0.05</v>
      </c>
      <c r="I52" s="27" t="s">
        <v>24</v>
      </c>
      <c r="J52" s="27">
        <f t="shared" si="2"/>
        <v>0.1</v>
      </c>
      <c r="K52" s="27">
        <f t="shared" si="2"/>
        <v>0.17842446821123847</v>
      </c>
      <c r="L52" s="27">
        <f t="shared" si="2"/>
        <v>9.418604651162793E-2</v>
      </c>
      <c r="M52" s="27">
        <f t="shared" si="2"/>
        <v>0.28840206185567008</v>
      </c>
      <c r="N52" s="97">
        <f t="shared" si="3"/>
        <v>0.95943966877417475</v>
      </c>
    </row>
    <row r="53" spans="2:14" x14ac:dyDescent="0.25">
      <c r="B53" s="14" t="s">
        <v>27</v>
      </c>
      <c r="C53" s="27">
        <f t="shared" si="2"/>
        <v>4.6114285714285719E-2</v>
      </c>
      <c r="D53" s="27">
        <f t="shared" si="2"/>
        <v>0.06</v>
      </c>
      <c r="E53" s="27">
        <f t="shared" si="2"/>
        <v>0.05</v>
      </c>
      <c r="F53" s="27">
        <f t="shared" si="2"/>
        <v>3.6040977124373659E-2</v>
      </c>
      <c r="G53" s="27">
        <f t="shared" si="2"/>
        <v>3.04E-2</v>
      </c>
      <c r="H53" s="27">
        <f t="shared" si="2"/>
        <v>0.05</v>
      </c>
      <c r="I53" s="27" t="s">
        <v>24</v>
      </c>
      <c r="J53" s="27">
        <f t="shared" si="2"/>
        <v>0.1</v>
      </c>
      <c r="K53" s="27">
        <f t="shared" si="2"/>
        <v>0.2</v>
      </c>
      <c r="L53" s="27">
        <f t="shared" si="2"/>
        <v>9.6290726817042621E-2</v>
      </c>
      <c r="M53" s="27">
        <f t="shared" si="2"/>
        <v>0.26844919786096255</v>
      </c>
      <c r="N53" s="97">
        <f t="shared" si="3"/>
        <v>0.93729518751666463</v>
      </c>
    </row>
    <row r="54" spans="2:14" x14ac:dyDescent="0.25">
      <c r="B54" s="22" t="s">
        <v>28</v>
      </c>
      <c r="C54" s="27" t="s">
        <v>24</v>
      </c>
      <c r="D54" s="98" t="s">
        <v>24</v>
      </c>
      <c r="E54" s="27">
        <f t="shared" si="2"/>
        <v>0.05</v>
      </c>
      <c r="F54" s="27">
        <f t="shared" si="2"/>
        <v>2.9873269085908174E-2</v>
      </c>
      <c r="G54" s="27">
        <f t="shared" si="2"/>
        <v>4.347333861655156E-2</v>
      </c>
      <c r="H54" s="27">
        <f t="shared" si="2"/>
        <v>2.5000000000000001E-2</v>
      </c>
      <c r="I54" s="99" t="s">
        <v>24</v>
      </c>
      <c r="J54" s="27">
        <f t="shared" si="2"/>
        <v>0.1</v>
      </c>
      <c r="K54" s="27">
        <f t="shared" si="2"/>
        <v>0.25</v>
      </c>
      <c r="L54" s="27">
        <f t="shared" si="2"/>
        <v>0.1</v>
      </c>
      <c r="M54" s="27">
        <f t="shared" si="2"/>
        <v>0.29473684210526313</v>
      </c>
      <c r="N54" s="97">
        <f t="shared" si="3"/>
        <v>0.89308344980772292</v>
      </c>
    </row>
    <row r="59" spans="2:14" x14ac:dyDescent="0.25">
      <c r="B59" s="20" t="s">
        <v>1</v>
      </c>
      <c r="C59" s="78" t="s">
        <v>32</v>
      </c>
      <c r="D59" s="78" t="s">
        <v>153</v>
      </c>
      <c r="E59" s="20" t="s">
        <v>142</v>
      </c>
    </row>
    <row r="60" spans="2:14" x14ac:dyDescent="0.25">
      <c r="B60" s="14" t="s">
        <v>13</v>
      </c>
      <c r="C60" s="27">
        <v>0.98980082279753345</v>
      </c>
      <c r="D60" s="27">
        <v>0.9985977777777777</v>
      </c>
      <c r="E60" s="27">
        <f>VLOOKUP(B60,'OR Q2'!$B$61:$E$76,'OR Q2'!$E$60,FALSE)</f>
        <v>0.27027135195709595</v>
      </c>
    </row>
    <row r="61" spans="2:14" x14ac:dyDescent="0.25">
      <c r="B61" s="14" t="s">
        <v>15</v>
      </c>
      <c r="C61" s="27">
        <v>1</v>
      </c>
      <c r="D61" s="27">
        <v>1</v>
      </c>
      <c r="E61" s="27">
        <f>VLOOKUP(B61,'OR Q2'!$B$61:$E$76,'OR Q2'!$E$60,FALSE)</f>
        <v>0.13185383814936363</v>
      </c>
    </row>
    <row r="62" spans="2:14" x14ac:dyDescent="0.25">
      <c r="B62" s="14" t="s">
        <v>16</v>
      </c>
      <c r="C62" s="27">
        <v>0.96686117474328959</v>
      </c>
      <c r="D62" s="27">
        <v>0.99837635647473677</v>
      </c>
      <c r="E62" s="27">
        <f>VLOOKUP(B62,'OR Q2'!$B$61:$E$76,'OR Q2'!$E$60,FALSE)</f>
        <v>3.7000720403425919E-2</v>
      </c>
    </row>
    <row r="63" spans="2:14" x14ac:dyDescent="0.25">
      <c r="B63" s="14" t="s">
        <v>17</v>
      </c>
      <c r="C63" s="27">
        <v>0.91</v>
      </c>
      <c r="D63" s="27">
        <v>0.91708975088155575</v>
      </c>
      <c r="E63" s="27">
        <f>VLOOKUP(B63,'OR Q2'!$B$61:$E$76,'OR Q2'!$E$60,FALSE)</f>
        <v>4.9167533818938604E-2</v>
      </c>
    </row>
    <row r="64" spans="2:14" x14ac:dyDescent="0.25">
      <c r="B64" s="14" t="s">
        <v>18</v>
      </c>
      <c r="C64" s="27">
        <v>0.93110470401828627</v>
      </c>
      <c r="D64" s="27">
        <v>0.98166492817962692</v>
      </c>
      <c r="E64" s="27">
        <f>VLOOKUP(B64,'OR Q2'!$B$61:$E$76,'OR Q2'!$E$60,FALSE)</f>
        <v>3.7180821259905544E-2</v>
      </c>
    </row>
    <row r="65" spans="2:5" x14ac:dyDescent="0.25">
      <c r="B65" s="14" t="s">
        <v>19</v>
      </c>
      <c r="C65" s="27">
        <v>0.97207402616838423</v>
      </c>
      <c r="D65" s="27">
        <v>0.96287920792079196</v>
      </c>
      <c r="E65" s="27">
        <f>VLOOKUP(B65,'OR Q2'!$B$61:$E$76,'OR Q2'!$E$60,FALSE)</f>
        <v>4.3844552949651804E-2</v>
      </c>
    </row>
    <row r="66" spans="2:5" x14ac:dyDescent="0.25">
      <c r="B66" s="14" t="s">
        <v>20</v>
      </c>
      <c r="C66" s="27">
        <v>0.97973452294246177</v>
      </c>
      <c r="D66" s="27">
        <v>0.96671769994885182</v>
      </c>
      <c r="E66" s="27">
        <f>VLOOKUP(B66,'OR Q2'!$B$61:$E$76,'OR Q2'!$E$60,FALSE)</f>
        <v>4.9207556231489633E-2</v>
      </c>
    </row>
    <row r="67" spans="2:5" x14ac:dyDescent="0.25">
      <c r="B67" s="14" t="s">
        <v>21</v>
      </c>
      <c r="C67" s="27">
        <v>0.93991571983947841</v>
      </c>
      <c r="D67" s="27">
        <v>0.96964944995914748</v>
      </c>
      <c r="E67" s="27">
        <f>VLOOKUP(B67,'OR Q2'!$B$61:$E$76,'OR Q2'!$E$60,FALSE)</f>
        <v>2.2992876010565919E-2</v>
      </c>
    </row>
    <row r="68" spans="2:5" x14ac:dyDescent="0.25">
      <c r="B68" s="14" t="s">
        <v>22</v>
      </c>
      <c r="C68" s="27">
        <v>0.94524218314862185</v>
      </c>
      <c r="D68" s="27">
        <v>0.95771431649325345</v>
      </c>
      <c r="E68" s="27">
        <f>VLOOKUP(B68,'OR Q2'!$B$61:$E$76,'OR Q2'!$E$60,FALSE)</f>
        <v>4.5365404626590888E-2</v>
      </c>
    </row>
    <row r="69" spans="2:5" x14ac:dyDescent="0.25">
      <c r="B69" s="14" t="s">
        <v>23</v>
      </c>
      <c r="C69" s="27">
        <v>0.91500000000000004</v>
      </c>
      <c r="D69" s="27">
        <v>0.9630938747095692</v>
      </c>
      <c r="E69" s="27">
        <f>VLOOKUP(B69,'OR Q2'!$B$61:$E$76,'OR Q2'!$E$60,FALSE)</f>
        <v>4.8046906267509806E-2</v>
      </c>
    </row>
    <row r="70" spans="2:5" x14ac:dyDescent="0.25">
      <c r="B70" s="14" t="s">
        <v>25</v>
      </c>
      <c r="C70" s="27">
        <v>0.99989690721649493</v>
      </c>
      <c r="D70" s="27">
        <v>0.91191753117604402</v>
      </c>
      <c r="E70" s="27">
        <f>VLOOKUP(B70,'OR Q2'!$B$61:$E$76,'OR Q2'!$E$60,FALSE)</f>
        <v>4.928760105659169E-2</v>
      </c>
    </row>
    <row r="71" spans="2:5" x14ac:dyDescent="0.25">
      <c r="B71" s="14" t="s">
        <v>26</v>
      </c>
      <c r="C71" s="27">
        <v>0.9</v>
      </c>
      <c r="D71" s="27">
        <v>0.95943966877417475</v>
      </c>
      <c r="E71" s="27">
        <f>VLOOKUP(B71,'OR Q2'!$B$61:$E$76,'OR Q2'!$E$60,FALSE)</f>
        <v>2.2272472584647401E-2</v>
      </c>
    </row>
    <row r="72" spans="2:5" x14ac:dyDescent="0.25">
      <c r="B72" s="14" t="s">
        <v>27</v>
      </c>
      <c r="C72" s="27">
        <v>0.63392386477602281</v>
      </c>
      <c r="D72" s="27">
        <v>0.93880976594784649</v>
      </c>
      <c r="E72" s="27">
        <f>VLOOKUP(B72,'OR Q2'!$B$61:$E$76,'OR Q2'!$E$60,FALSE)</f>
        <v>3.2057952453373888E-2</v>
      </c>
    </row>
    <row r="73" spans="2:5" x14ac:dyDescent="0.25">
      <c r="B73" s="22" t="s">
        <v>78</v>
      </c>
      <c r="C73" s="27">
        <v>0.48232272019195277</v>
      </c>
      <c r="D73" s="27">
        <v>0.89611120333581984</v>
      </c>
      <c r="E73" s="27">
        <f>VLOOKUP(B73,'OR Q2'!$B$61:$E$76,'OR Q2'!$E$60,FALSE)</f>
        <v>1.2907228047706719E-2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E07B-16EF-441F-8D6E-113FD42BBE91}">
  <sheetPr codeName="Hoja5"/>
  <dimension ref="B1:BO75"/>
  <sheetViews>
    <sheetView topLeftCell="A40" zoomScale="103" workbookViewId="0">
      <selection activeCell="G44" sqref="G44"/>
    </sheetView>
  </sheetViews>
  <sheetFormatPr baseColWidth="10" defaultColWidth="8.7109375" defaultRowHeight="15" x14ac:dyDescent="0.25"/>
  <cols>
    <col min="1" max="1" width="5.5703125" style="11" customWidth="1"/>
    <col min="2" max="2" width="13.7109375" style="11" bestFit="1" customWidth="1"/>
    <col min="3" max="3" width="8.7109375" style="11"/>
    <col min="4" max="4" width="9.7109375" style="11" customWidth="1"/>
    <col min="5" max="6" width="8.7109375" style="11"/>
    <col min="7" max="7" width="11" style="11" customWidth="1"/>
    <col min="8" max="8" width="10.42578125" style="11" customWidth="1"/>
    <col min="9" max="9" width="10.7109375" style="11" customWidth="1"/>
    <col min="10" max="10" width="11.7109375" style="11" bestFit="1" customWidth="1"/>
    <col min="11" max="11" width="12.42578125" style="11" customWidth="1"/>
    <col min="12" max="12" width="11.42578125" style="11" customWidth="1"/>
    <col min="13" max="15" width="8.7109375" style="11"/>
    <col min="16" max="16" width="9.42578125" style="11" customWidth="1"/>
    <col min="17" max="17" width="8.28515625" style="11" customWidth="1"/>
    <col min="18" max="18" width="8.7109375" style="11"/>
    <col min="19" max="19" width="9.42578125" style="11" customWidth="1"/>
    <col min="20" max="22" width="8.7109375" style="11"/>
    <col min="23" max="23" width="10.28515625" style="11" customWidth="1"/>
    <col min="24" max="24" width="10.5703125" style="11" customWidth="1"/>
    <col min="25" max="28" width="8.7109375" style="11"/>
    <col min="29" max="29" width="10.28515625" style="11" customWidth="1"/>
    <col min="30" max="30" width="8.7109375" style="11"/>
    <col min="31" max="31" width="10.28515625" style="11" customWidth="1"/>
    <col min="32" max="35" width="8.7109375" style="11"/>
    <col min="36" max="37" width="10.5703125" style="11" customWidth="1"/>
    <col min="38" max="38" width="9.5703125" style="11" bestFit="1" customWidth="1"/>
    <col min="39" max="41" width="9.5703125" style="11" customWidth="1"/>
    <col min="42" max="44" width="10.28515625" style="11" customWidth="1"/>
    <col min="45" max="46" width="8.7109375" style="11"/>
    <col min="47" max="49" width="12.5703125" style="11" customWidth="1"/>
    <col min="50" max="52" width="8.7109375" style="11"/>
    <col min="53" max="53" width="14.28515625" style="11" customWidth="1"/>
    <col min="54" max="54" width="13.28515625" style="11" customWidth="1"/>
    <col min="55" max="58" width="8.7109375" style="11"/>
    <col min="59" max="59" width="19.7109375" style="11" bestFit="1" customWidth="1"/>
    <col min="60" max="16384" width="8.7109375" style="11"/>
  </cols>
  <sheetData>
    <row r="1" spans="2:67" x14ac:dyDescent="0.25">
      <c r="B1" s="11">
        <v>1</v>
      </c>
      <c r="C1" s="11">
        <v>2</v>
      </c>
      <c r="D1" s="11">
        <v>3</v>
      </c>
      <c r="F1" s="11">
        <v>1</v>
      </c>
      <c r="G1" s="11">
        <v>2</v>
      </c>
      <c r="H1" s="11">
        <v>3</v>
      </c>
      <c r="I1" s="11">
        <v>4</v>
      </c>
      <c r="J1" s="11">
        <v>5</v>
      </c>
      <c r="K1" s="11">
        <v>6</v>
      </c>
      <c r="L1" s="11">
        <v>7</v>
      </c>
      <c r="AI1" s="271" t="s">
        <v>154</v>
      </c>
      <c r="AJ1" s="271"/>
      <c r="AK1" s="271"/>
      <c r="AL1" s="271"/>
      <c r="AM1" s="271"/>
      <c r="AN1" s="271"/>
      <c r="AO1" s="271"/>
      <c r="AP1" s="271"/>
      <c r="AQ1" s="271"/>
    </row>
    <row r="2" spans="2:67" x14ac:dyDescent="0.25">
      <c r="B2" s="131" t="s">
        <v>155</v>
      </c>
      <c r="C2" s="131" t="s">
        <v>156</v>
      </c>
      <c r="D2" s="131" t="s">
        <v>157</v>
      </c>
      <c r="F2" s="93" t="s">
        <v>34</v>
      </c>
      <c r="G2" s="20" t="s">
        <v>143</v>
      </c>
      <c r="H2" s="20" t="s">
        <v>46</v>
      </c>
      <c r="I2" s="134" t="s">
        <v>158</v>
      </c>
      <c r="J2" s="20" t="s">
        <v>145</v>
      </c>
      <c r="K2" s="20" t="s">
        <v>48</v>
      </c>
      <c r="L2" s="134" t="s">
        <v>159</v>
      </c>
      <c r="N2" s="271" t="s">
        <v>160</v>
      </c>
      <c r="O2" s="271"/>
      <c r="P2" s="271"/>
      <c r="Q2" s="271"/>
      <c r="S2" s="11">
        <v>1</v>
      </c>
      <c r="T2" s="11">
        <v>2</v>
      </c>
    </row>
    <row r="3" spans="2:67" x14ac:dyDescent="0.25">
      <c r="B3" s="142" t="s">
        <v>95</v>
      </c>
      <c r="C3" s="142">
        <v>1</v>
      </c>
      <c r="D3" s="143">
        <f>C3/$C$35</f>
        <v>2.0011206275514287E-5</v>
      </c>
      <c r="F3" s="89" t="s">
        <v>13</v>
      </c>
      <c r="G3" s="94">
        <f>VLOOKUP(F3,'OR Q1'!$J$4:$N$18,'OR Q1'!$K$3,FALSE)</f>
        <v>0.78</v>
      </c>
      <c r="H3" s="91">
        <v>0.78400000000000003</v>
      </c>
      <c r="I3" s="27">
        <f t="shared" ref="I3:I16" si="0">H3/G3</f>
        <v>1.0051282051282051</v>
      </c>
      <c r="J3" s="21">
        <f>VLOOKUP(F3,'OR Q1'!$J$4:$N$18,'OR Q1'!$N$3,FALSE)</f>
        <v>0.92</v>
      </c>
      <c r="K3" s="91">
        <v>0.95699999999999996</v>
      </c>
      <c r="L3" s="27">
        <f t="shared" ref="L3:L16" si="1">K3/J3</f>
        <v>1.0402173913043478</v>
      </c>
      <c r="N3" s="11">
        <v>1</v>
      </c>
      <c r="O3" s="11">
        <v>2</v>
      </c>
      <c r="P3" s="11">
        <v>3</v>
      </c>
      <c r="Q3" s="11">
        <v>4</v>
      </c>
      <c r="S3" s="141" t="s">
        <v>1</v>
      </c>
      <c r="T3" s="20" t="s">
        <v>110</v>
      </c>
      <c r="V3" s="11">
        <v>1</v>
      </c>
      <c r="W3" s="11">
        <v>2</v>
      </c>
      <c r="X3" s="11">
        <v>3</v>
      </c>
      <c r="Y3" s="11">
        <v>4</v>
      </c>
      <c r="Z3" s="11">
        <v>5</v>
      </c>
      <c r="AA3" s="11">
        <v>6</v>
      </c>
      <c r="AB3" s="11">
        <v>7</v>
      </c>
      <c r="AC3" s="268" t="s">
        <v>161</v>
      </c>
      <c r="AD3" s="268"/>
      <c r="AE3" s="272" t="s">
        <v>162</v>
      </c>
      <c r="AF3" s="272"/>
      <c r="AI3" s="11">
        <v>1</v>
      </c>
      <c r="AJ3" s="11">
        <v>2</v>
      </c>
      <c r="AK3" s="11">
        <v>3</v>
      </c>
      <c r="AL3" s="11">
        <v>4</v>
      </c>
      <c r="AM3" s="11">
        <v>5</v>
      </c>
      <c r="AN3" s="11">
        <v>6</v>
      </c>
      <c r="AO3" s="11">
        <v>7</v>
      </c>
      <c r="AP3" s="11">
        <v>8</v>
      </c>
      <c r="AQ3" s="11">
        <v>9</v>
      </c>
      <c r="AT3" s="11">
        <v>1</v>
      </c>
      <c r="AU3" s="11">
        <v>2</v>
      </c>
      <c r="AV3" s="11">
        <v>3</v>
      </c>
      <c r="AW3" s="11">
        <v>4</v>
      </c>
      <c r="AX3" s="11">
        <v>5</v>
      </c>
      <c r="BJ3" s="11">
        <v>1</v>
      </c>
      <c r="BK3" s="11">
        <v>2</v>
      </c>
      <c r="BL3" s="11">
        <v>3</v>
      </c>
      <c r="BM3" s="11">
        <v>4</v>
      </c>
    </row>
    <row r="4" spans="2:67" x14ac:dyDescent="0.25">
      <c r="B4" s="132" t="s">
        <v>81</v>
      </c>
      <c r="C4" s="132">
        <v>231</v>
      </c>
      <c r="D4" s="133">
        <f t="shared" ref="D4:D37" si="2">C4/$C$35</f>
        <v>4.622588649643801E-3</v>
      </c>
      <c r="F4" s="89" t="s">
        <v>15</v>
      </c>
      <c r="G4" s="94">
        <f>VLOOKUP(F4,'OR Q1'!$J$4:$N$18,'OR Q1'!$K$3,FALSE)</f>
        <v>0.92</v>
      </c>
      <c r="H4" s="91">
        <v>0.95099999999999996</v>
      </c>
      <c r="I4" s="27">
        <f t="shared" si="0"/>
        <v>1.0336956521739129</v>
      </c>
      <c r="J4" s="21">
        <f>VLOOKUP(F4,'OR Q1'!$J$4:$N$18,'OR Q1'!$N$3,FALSE)</f>
        <v>0.92</v>
      </c>
      <c r="K4" s="91">
        <v>0.93500000000000005</v>
      </c>
      <c r="L4" s="27">
        <f t="shared" si="1"/>
        <v>1.0163043478260869</v>
      </c>
      <c r="N4" s="20" t="s">
        <v>34</v>
      </c>
      <c r="O4" s="20" t="s">
        <v>103</v>
      </c>
      <c r="P4" s="20" t="s">
        <v>163</v>
      </c>
      <c r="Q4" s="20" t="s">
        <v>164</v>
      </c>
      <c r="S4" s="139" t="s">
        <v>13</v>
      </c>
      <c r="T4" s="27">
        <v>0.96701655572623324</v>
      </c>
      <c r="V4" s="263" t="s">
        <v>34</v>
      </c>
      <c r="W4" s="265" t="s">
        <v>35</v>
      </c>
      <c r="X4" s="265" t="s">
        <v>36</v>
      </c>
      <c r="Y4" s="265" t="s">
        <v>165</v>
      </c>
      <c r="Z4" s="265" t="s">
        <v>166</v>
      </c>
      <c r="AA4" s="265" t="s">
        <v>39</v>
      </c>
      <c r="AB4" s="265" t="s">
        <v>165</v>
      </c>
      <c r="AC4" s="265" t="s">
        <v>97</v>
      </c>
      <c r="AD4" s="265" t="s">
        <v>93</v>
      </c>
      <c r="AE4" s="265" t="s">
        <v>97</v>
      </c>
      <c r="AF4" s="265" t="s">
        <v>93</v>
      </c>
      <c r="AI4" s="263" t="s">
        <v>34</v>
      </c>
      <c r="AJ4" s="263" t="s">
        <v>35</v>
      </c>
      <c r="AK4" s="265" t="s">
        <v>36</v>
      </c>
      <c r="AL4" s="265" t="s">
        <v>165</v>
      </c>
      <c r="AM4" s="265" t="s">
        <v>89</v>
      </c>
      <c r="AN4" s="265" t="s">
        <v>39</v>
      </c>
      <c r="AO4" s="265" t="s">
        <v>165</v>
      </c>
      <c r="AP4" s="265" t="s">
        <v>97</v>
      </c>
      <c r="AQ4" s="265" t="s">
        <v>93</v>
      </c>
      <c r="AR4" s="163"/>
      <c r="AT4" s="20" t="s">
        <v>1</v>
      </c>
      <c r="AU4" s="23" t="s">
        <v>7</v>
      </c>
      <c r="AV4" s="23" t="s">
        <v>8</v>
      </c>
      <c r="AW4" s="23" t="s">
        <v>9</v>
      </c>
      <c r="AX4" s="23" t="s">
        <v>167</v>
      </c>
      <c r="AZ4" s="159" t="s">
        <v>34</v>
      </c>
      <c r="BA4" s="160" t="s">
        <v>32</v>
      </c>
      <c r="BB4" s="161" t="s">
        <v>168</v>
      </c>
      <c r="BC4" s="20" t="s">
        <v>142</v>
      </c>
      <c r="BE4" s="170" t="s">
        <v>34</v>
      </c>
      <c r="BF4" s="171" t="s">
        <v>11</v>
      </c>
      <c r="BG4" s="171" t="s">
        <v>169</v>
      </c>
      <c r="BH4" s="20" t="s">
        <v>142</v>
      </c>
      <c r="BJ4" s="177" t="s">
        <v>34</v>
      </c>
      <c r="BK4" s="178" t="s">
        <v>170</v>
      </c>
      <c r="BL4" s="178" t="s">
        <v>50</v>
      </c>
      <c r="BM4" s="20" t="s">
        <v>142</v>
      </c>
    </row>
    <row r="5" spans="2:67" x14ac:dyDescent="0.25">
      <c r="B5" s="142" t="s">
        <v>66</v>
      </c>
      <c r="C5" s="142">
        <v>137</v>
      </c>
      <c r="D5" s="143">
        <f t="shared" si="2"/>
        <v>2.7415352597454576E-3</v>
      </c>
      <c r="F5" s="89" t="s">
        <v>16</v>
      </c>
      <c r="G5" s="94">
        <f>VLOOKUP(F5,'OR Q1'!$J$4:$N$18,'OR Q1'!$K$3,FALSE)</f>
        <v>0.85</v>
      </c>
      <c r="H5" s="91">
        <v>0.86799999999999999</v>
      </c>
      <c r="I5" s="27">
        <f t="shared" si="0"/>
        <v>1.0211764705882354</v>
      </c>
      <c r="J5" s="21">
        <f>VLOOKUP(F5,'OR Q1'!$J$4:$N$18,'OR Q1'!$N$3,FALSE)</f>
        <v>0.94</v>
      </c>
      <c r="K5" s="91">
        <v>0.98199999999999998</v>
      </c>
      <c r="L5" s="27">
        <f t="shared" si="1"/>
        <v>1.0446808510638299</v>
      </c>
      <c r="N5" s="137" t="s">
        <v>16</v>
      </c>
      <c r="O5" s="27">
        <v>0.34417277913610428</v>
      </c>
      <c r="P5" s="27">
        <v>0.62640586797066011</v>
      </c>
      <c r="Q5" s="138">
        <f>P5/O5</f>
        <v>1.8200331517878288</v>
      </c>
      <c r="S5" s="140" t="s">
        <v>14</v>
      </c>
      <c r="T5" s="27">
        <v>0</v>
      </c>
      <c r="V5" s="264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I5" s="264"/>
      <c r="AJ5" s="264"/>
      <c r="AK5" s="266"/>
      <c r="AL5" s="266"/>
      <c r="AM5" s="266"/>
      <c r="AN5" s="266"/>
      <c r="AO5" s="266"/>
      <c r="AP5" s="266"/>
      <c r="AQ5" s="266"/>
      <c r="AR5" s="163"/>
      <c r="AT5" s="14" t="s">
        <v>13</v>
      </c>
      <c r="AU5" s="27">
        <v>1</v>
      </c>
      <c r="AV5" s="27">
        <v>1</v>
      </c>
      <c r="AW5" s="27">
        <v>1</v>
      </c>
      <c r="AX5" s="30">
        <f>AVERAGE(AU5:AW5)</f>
        <v>1</v>
      </c>
      <c r="AZ5" s="9" t="s">
        <v>13</v>
      </c>
      <c r="BA5" s="27">
        <v>1</v>
      </c>
      <c r="BB5" s="27">
        <f>VLOOKUP(AZ5,$AT$4:$AX$19,$AX$3,FALSE)</f>
        <v>1</v>
      </c>
      <c r="BC5" s="27">
        <f>VLOOKUP(AZ5,$B$2:$D$37,$D$1,FALSE)</f>
        <v>0.27055150884495316</v>
      </c>
      <c r="BE5" s="172" t="s">
        <v>26</v>
      </c>
      <c r="BF5" s="173">
        <v>0.80482310389211498</v>
      </c>
      <c r="BG5" s="174">
        <v>177.94641824653078</v>
      </c>
      <c r="BH5" s="27">
        <f>VLOOKUP(BE5,$B$2:$D$38,$D$1,FALSE)</f>
        <v>2.1512046746177859E-2</v>
      </c>
      <c r="BJ5" s="175" t="s">
        <v>13</v>
      </c>
      <c r="BK5" s="176">
        <v>0.96</v>
      </c>
      <c r="BL5" s="176">
        <v>1.06</v>
      </c>
      <c r="BM5" s="27">
        <f>VLOOKUP(BJ5,$B$2:$D$38,$D$1,FALSE)</f>
        <v>0.27055150884495316</v>
      </c>
      <c r="BO5" s="135">
        <f>BM5+BM6+BM15+BM17</f>
        <v>0.46311934683422717</v>
      </c>
    </row>
    <row r="6" spans="2:67" x14ac:dyDescent="0.25">
      <c r="B6" s="132" t="s">
        <v>68</v>
      </c>
      <c r="C6" s="132">
        <v>184</v>
      </c>
      <c r="D6" s="133">
        <f t="shared" si="2"/>
        <v>3.6820619546946288E-3</v>
      </c>
      <c r="F6" s="89" t="s">
        <v>17</v>
      </c>
      <c r="G6" s="94">
        <f>VLOOKUP(F6,'OR Q1'!$J$4:$N$18,'OR Q1'!$K$3,FALSE)</f>
        <v>0.86</v>
      </c>
      <c r="H6" s="91">
        <v>0.879</v>
      </c>
      <c r="I6" s="27">
        <f t="shared" si="0"/>
        <v>1.0220930232558141</v>
      </c>
      <c r="J6" s="21">
        <f>VLOOKUP(F6,'OR Q1'!$J$4:$N$18,'OR Q1'!$N$3,FALSE)</f>
        <v>0.9</v>
      </c>
      <c r="K6" s="91">
        <v>0.97599999999999998</v>
      </c>
      <c r="L6" s="27">
        <f t="shared" si="1"/>
        <v>1.0844444444444443</v>
      </c>
      <c r="N6" s="136" t="s">
        <v>15</v>
      </c>
      <c r="O6" s="27">
        <v>0.3752736204439015</v>
      </c>
      <c r="P6" s="27">
        <v>0.51374465485644472</v>
      </c>
      <c r="Q6" s="138">
        <f t="shared" ref="Q6:Q21" si="3">P6/O6</f>
        <v>1.3689868588384906</v>
      </c>
      <c r="S6" s="140" t="s">
        <v>15</v>
      </c>
      <c r="T6" s="27">
        <v>1.1111111111111112</v>
      </c>
      <c r="V6" s="2" t="s">
        <v>13</v>
      </c>
      <c r="W6" s="4">
        <v>6772785</v>
      </c>
      <c r="X6" s="4">
        <v>6737647</v>
      </c>
      <c r="Y6" s="130">
        <f>X6/W6</f>
        <v>0.99481188314703628</v>
      </c>
      <c r="Z6" s="144">
        <v>1</v>
      </c>
      <c r="AA6" s="5">
        <v>1.04</v>
      </c>
      <c r="AB6" s="130">
        <f>AA6/Z6</f>
        <v>1.04</v>
      </c>
      <c r="AC6" s="4">
        <v>60162</v>
      </c>
      <c r="AD6" s="4">
        <v>60336</v>
      </c>
      <c r="AE6" s="4">
        <v>62740</v>
      </c>
      <c r="AF6" s="4">
        <v>60336</v>
      </c>
      <c r="AI6" s="2" t="s">
        <v>13</v>
      </c>
      <c r="AJ6" s="6">
        <v>6772785</v>
      </c>
      <c r="AK6" s="6">
        <v>6737647</v>
      </c>
      <c r="AL6" s="167">
        <f>AK6/AJ6</f>
        <v>0.99481188314703628</v>
      </c>
      <c r="AM6" s="166">
        <v>1.02</v>
      </c>
      <c r="AN6" s="166">
        <v>1.04</v>
      </c>
      <c r="AO6" s="168">
        <f>AN6/AM6</f>
        <v>1.0196078431372548</v>
      </c>
      <c r="AP6" s="6">
        <v>61579</v>
      </c>
      <c r="AQ6" s="4">
        <v>60336</v>
      </c>
      <c r="AR6" s="164"/>
      <c r="AT6" s="14" t="s">
        <v>14</v>
      </c>
      <c r="AU6" s="27">
        <v>0.75</v>
      </c>
      <c r="AV6" s="27">
        <v>1</v>
      </c>
      <c r="AW6" s="27">
        <v>1</v>
      </c>
      <c r="AX6" s="30">
        <f t="shared" ref="AX6:AX19" si="4">AVERAGE(AU6:AW6)</f>
        <v>0.91666666666666663</v>
      </c>
      <c r="AZ6" s="9" t="s">
        <v>15</v>
      </c>
      <c r="BA6" s="27">
        <v>1</v>
      </c>
      <c r="BB6" s="27">
        <f t="shared" ref="BB6:BB19" si="5">VLOOKUP(AZ6,$AT$4:$AX$19,$AX$3,FALSE)</f>
        <v>0.91666666666666663</v>
      </c>
      <c r="BC6" s="27">
        <f t="shared" ref="BC6:BC19" si="6">VLOOKUP(AZ6,$B$2:$D$37,$D$1,FALSE)</f>
        <v>0.13185383814936363</v>
      </c>
      <c r="BE6" s="172" t="s">
        <v>13</v>
      </c>
      <c r="BF6" s="173">
        <v>1.0398464152037901</v>
      </c>
      <c r="BG6" s="174">
        <v>251.57801928185864</v>
      </c>
      <c r="BH6" s="27">
        <f t="shared" ref="BH6:BH19" si="7">VLOOKUP(BE6,$B$2:$D$38,$D$1,FALSE)</f>
        <v>0.27055150884495316</v>
      </c>
      <c r="BJ6" s="175" t="s">
        <v>15</v>
      </c>
      <c r="BK6" s="176">
        <v>0.96</v>
      </c>
      <c r="BL6" s="176">
        <v>1.19</v>
      </c>
      <c r="BM6" s="27">
        <f t="shared" ref="BM6:BM19" si="8">VLOOKUP(BJ6,$B$2:$D$38,$D$1,FALSE)</f>
        <v>0.13185383814936363</v>
      </c>
      <c r="BO6" s="135">
        <f>BM8+BM9+BM13</f>
        <v>0.13231409589370047</v>
      </c>
    </row>
    <row r="7" spans="2:67" x14ac:dyDescent="0.25">
      <c r="B7" s="142" t="s">
        <v>69</v>
      </c>
      <c r="C7" s="142">
        <v>13</v>
      </c>
      <c r="D7" s="143">
        <f t="shared" si="2"/>
        <v>2.6014568158168577E-4</v>
      </c>
      <c r="F7" s="89" t="s">
        <v>14</v>
      </c>
      <c r="G7" s="94">
        <f>VLOOKUP(F7,'OR Q1'!$J$4:$N$18,'OR Q1'!$K$3,FALSE)</f>
        <v>0.82</v>
      </c>
      <c r="H7" s="91">
        <v>0.83799999999999997</v>
      </c>
      <c r="I7" s="27">
        <f t="shared" si="0"/>
        <v>1.0219512195121951</v>
      </c>
      <c r="J7" s="21">
        <f>VLOOKUP(F7,'OR Q1'!$J$4:$N$18,'OR Q1'!$N$3,FALSE)</f>
        <v>0.91</v>
      </c>
      <c r="K7" s="91">
        <v>0.91800000000000004</v>
      </c>
      <c r="L7" s="27">
        <f t="shared" si="1"/>
        <v>1.0087912087912088</v>
      </c>
      <c r="N7" s="136" t="s">
        <v>18</v>
      </c>
      <c r="O7" s="27">
        <v>0.37599905465795808</v>
      </c>
      <c r="P7" s="27">
        <v>0.40168442763836371</v>
      </c>
      <c r="Q7" s="138">
        <f t="shared" si="3"/>
        <v>1.0683123339333163</v>
      </c>
      <c r="S7" s="140" t="s">
        <v>16</v>
      </c>
      <c r="T7" s="27">
        <v>1.0637912154944371</v>
      </c>
      <c r="V7" s="3" t="s">
        <v>26</v>
      </c>
      <c r="W7" s="4">
        <v>871593</v>
      </c>
      <c r="X7" s="4">
        <v>756854</v>
      </c>
      <c r="Y7" s="130">
        <f t="shared" ref="Y7:Y37" si="9">X7/W7</f>
        <v>0.86835713458001618</v>
      </c>
      <c r="Z7" s="5">
        <v>0.86</v>
      </c>
      <c r="AA7" s="5">
        <v>0.8</v>
      </c>
      <c r="AB7" s="130">
        <f t="shared" ref="AB7:AB37" si="10">AA7/Z7</f>
        <v>0.93023255813953498</v>
      </c>
      <c r="AC7" s="4">
        <v>6954</v>
      </c>
      <c r="AD7" s="4">
        <v>8112</v>
      </c>
      <c r="AE7" s="4">
        <v>6529</v>
      </c>
      <c r="AF7" s="4">
        <v>8112</v>
      </c>
      <c r="AI7" s="3" t="s">
        <v>26</v>
      </c>
      <c r="AJ7" s="6">
        <v>871593</v>
      </c>
      <c r="AK7" s="6">
        <v>756854</v>
      </c>
      <c r="AL7" s="167">
        <f t="shared" ref="AL7:AL37" si="11">AK7/AJ7</f>
        <v>0.86835713458001618</v>
      </c>
      <c r="AM7" s="166">
        <v>0.84</v>
      </c>
      <c r="AN7" s="166">
        <v>0.8</v>
      </c>
      <c r="AO7" s="168">
        <f t="shared" ref="AO7:AO37" si="12">AN7/AM7</f>
        <v>0.95238095238095244</v>
      </c>
      <c r="AP7" s="6">
        <v>6852</v>
      </c>
      <c r="AQ7" s="4">
        <v>8112</v>
      </c>
      <c r="AR7" s="164"/>
      <c r="AT7" s="14" t="s">
        <v>15</v>
      </c>
      <c r="AU7" s="27">
        <v>0.75</v>
      </c>
      <c r="AV7" s="27">
        <v>1</v>
      </c>
      <c r="AW7" s="27">
        <v>1</v>
      </c>
      <c r="AX7" s="30">
        <f t="shared" si="4"/>
        <v>0.91666666666666663</v>
      </c>
      <c r="AZ7" s="9" t="s">
        <v>16</v>
      </c>
      <c r="BA7" s="27">
        <v>1</v>
      </c>
      <c r="BB7" s="27">
        <f t="shared" si="5"/>
        <v>1</v>
      </c>
      <c r="BC7" s="27">
        <f t="shared" si="6"/>
        <v>3.7220843672456573E-2</v>
      </c>
      <c r="BE7" s="172" t="s">
        <v>15</v>
      </c>
      <c r="BF7" s="173">
        <v>1.3335572106185078</v>
      </c>
      <c r="BG7" s="174">
        <v>337.57918164730535</v>
      </c>
      <c r="BH7" s="27">
        <f t="shared" si="7"/>
        <v>0.13185383814936363</v>
      </c>
      <c r="BJ7" s="175" t="s">
        <v>14</v>
      </c>
      <c r="BK7" s="176">
        <v>0.71</v>
      </c>
      <c r="BL7" s="176">
        <v>0.89</v>
      </c>
      <c r="BM7" s="27">
        <f t="shared" si="8"/>
        <v>0.129572560633955</v>
      </c>
      <c r="BO7" s="135">
        <f>BM18+BM14</f>
        <v>7.0799647802769552E-2</v>
      </c>
    </row>
    <row r="8" spans="2:67" x14ac:dyDescent="0.25">
      <c r="B8" s="142" t="s">
        <v>70</v>
      </c>
      <c r="C8" s="142">
        <v>84</v>
      </c>
      <c r="D8" s="143">
        <f t="shared" si="2"/>
        <v>1.6809413271432001E-3</v>
      </c>
      <c r="F8" s="89" t="s">
        <v>18</v>
      </c>
      <c r="G8" s="94">
        <f>VLOOKUP(F8,'OR Q1'!$J$4:$N$18,'OR Q1'!$K$3,FALSE)</f>
        <v>0.94</v>
      </c>
      <c r="H8" s="91">
        <v>0.99299999999999999</v>
      </c>
      <c r="I8" s="27">
        <f t="shared" si="0"/>
        <v>1.0563829787234043</v>
      </c>
      <c r="J8" s="21">
        <f>VLOOKUP(F8,'OR Q1'!$J$4:$N$18,'OR Q1'!$N$3,FALSE)</f>
        <v>0.95</v>
      </c>
      <c r="K8" s="91">
        <v>0.98599999999999999</v>
      </c>
      <c r="L8" s="27">
        <f t="shared" si="1"/>
        <v>1.0378947368421052</v>
      </c>
      <c r="N8" s="136" t="s">
        <v>13</v>
      </c>
      <c r="O8" s="27">
        <v>0.53854223268731494</v>
      </c>
      <c r="P8" s="27">
        <v>0.58911429088933165</v>
      </c>
      <c r="Q8" s="138">
        <f t="shared" si="3"/>
        <v>1.0939054639218602</v>
      </c>
      <c r="S8" s="140" t="s">
        <v>17</v>
      </c>
      <c r="T8" s="27">
        <v>1.1111111111111112</v>
      </c>
      <c r="V8" s="3" t="s">
        <v>16</v>
      </c>
      <c r="W8" s="4">
        <v>1623544</v>
      </c>
      <c r="X8" s="4">
        <v>1548634</v>
      </c>
      <c r="Y8" s="130">
        <f t="shared" si="9"/>
        <v>0.95386019719822812</v>
      </c>
      <c r="Z8" s="5">
        <v>1.03</v>
      </c>
      <c r="AA8" s="5">
        <v>1.04</v>
      </c>
      <c r="AB8" s="130">
        <f t="shared" si="10"/>
        <v>1.0097087378640777</v>
      </c>
      <c r="AC8" s="4">
        <v>11987</v>
      </c>
      <c r="AD8" s="4">
        <v>11590</v>
      </c>
      <c r="AE8" s="4">
        <v>12072</v>
      </c>
      <c r="AF8" s="4">
        <v>11590</v>
      </c>
      <c r="AI8" s="3" t="s">
        <v>16</v>
      </c>
      <c r="AJ8" s="6">
        <v>1623544</v>
      </c>
      <c r="AK8" s="6">
        <v>1548634</v>
      </c>
      <c r="AL8" s="167">
        <f t="shared" si="11"/>
        <v>0.95386019719822812</v>
      </c>
      <c r="AM8" s="166">
        <v>1.05</v>
      </c>
      <c r="AN8" s="166">
        <v>1.04</v>
      </c>
      <c r="AO8" s="168">
        <f t="shared" si="12"/>
        <v>0.99047619047619051</v>
      </c>
      <c r="AP8" s="6">
        <v>12208</v>
      </c>
      <c r="AQ8" s="4">
        <v>11590</v>
      </c>
      <c r="AR8" s="164"/>
      <c r="AT8" s="14" t="s">
        <v>16</v>
      </c>
      <c r="AU8" s="27">
        <v>1</v>
      </c>
      <c r="AV8" s="27">
        <v>1</v>
      </c>
      <c r="AW8" s="27">
        <v>1</v>
      </c>
      <c r="AX8" s="30">
        <f t="shared" si="4"/>
        <v>1</v>
      </c>
      <c r="AZ8" s="9" t="s">
        <v>18</v>
      </c>
      <c r="BA8" s="27">
        <v>1</v>
      </c>
      <c r="BB8" s="27">
        <f t="shared" si="5"/>
        <v>1</v>
      </c>
      <c r="BC8" s="27">
        <f t="shared" si="6"/>
        <v>3.7180821259905544E-2</v>
      </c>
      <c r="BE8" s="172" t="s">
        <v>22</v>
      </c>
      <c r="BF8" s="173">
        <v>1.4351948051948051</v>
      </c>
      <c r="BG8" s="174">
        <v>375.22732855601413</v>
      </c>
      <c r="BH8" s="27">
        <f t="shared" si="7"/>
        <v>4.2563835748018891E-2</v>
      </c>
      <c r="BJ8" s="175" t="s">
        <v>20</v>
      </c>
      <c r="BK8" s="176">
        <v>1.2</v>
      </c>
      <c r="BL8" s="176">
        <v>1.24</v>
      </c>
      <c r="BM8" s="27">
        <f t="shared" si="8"/>
        <v>5.0408228608020494E-2</v>
      </c>
      <c r="BO8" s="135">
        <f>SUM(BO5:BO7)</f>
        <v>0.66623309053069724</v>
      </c>
    </row>
    <row r="9" spans="2:67" x14ac:dyDescent="0.25">
      <c r="B9" s="132" t="s">
        <v>82</v>
      </c>
      <c r="C9" s="132">
        <v>56</v>
      </c>
      <c r="D9" s="133">
        <f t="shared" si="2"/>
        <v>1.1206275514288001E-3</v>
      </c>
      <c r="F9" s="90" t="s">
        <v>26</v>
      </c>
      <c r="G9" s="94">
        <f>VLOOKUP(F9,'OR Q1'!$J$4:$N$18,'OR Q1'!$K$3,FALSE)</f>
        <v>0.85</v>
      </c>
      <c r="H9" s="91">
        <v>0.89300000000000002</v>
      </c>
      <c r="I9" s="27">
        <f t="shared" si="0"/>
        <v>1.0505882352941176</v>
      </c>
      <c r="J9" s="21">
        <f>VLOOKUP(F9,'OR Q1'!$J$4:$N$18,'OR Q1'!$N$3,FALSE)</f>
        <v>0.87</v>
      </c>
      <c r="K9" s="91">
        <v>0.92400000000000004</v>
      </c>
      <c r="L9" s="27">
        <f t="shared" si="1"/>
        <v>1.0620689655172415</v>
      </c>
      <c r="N9" s="136" t="s">
        <v>14</v>
      </c>
      <c r="O9" s="21">
        <v>0.38293339280404404</v>
      </c>
      <c r="P9" s="21">
        <v>0.37859054415700266</v>
      </c>
      <c r="Q9" s="138">
        <f t="shared" si="3"/>
        <v>0.98865899728607964</v>
      </c>
      <c r="S9" s="140" t="s">
        <v>18</v>
      </c>
      <c r="T9" s="27">
        <v>1.0069076996154176</v>
      </c>
      <c r="V9" s="3" t="s">
        <v>25</v>
      </c>
      <c r="W9" s="4">
        <v>1668553</v>
      </c>
      <c r="X9" s="4">
        <v>1410976</v>
      </c>
      <c r="Y9" s="130">
        <f t="shared" si="9"/>
        <v>0.84562851764373081</v>
      </c>
      <c r="Z9" s="5">
        <v>1.27</v>
      </c>
      <c r="AA9" s="5">
        <v>1.56</v>
      </c>
      <c r="AB9" s="130">
        <f t="shared" si="10"/>
        <v>1.2283464566929134</v>
      </c>
      <c r="AC9" s="4">
        <v>7655</v>
      </c>
      <c r="AD9" s="4">
        <v>6025</v>
      </c>
      <c r="AE9" s="4">
        <v>9413</v>
      </c>
      <c r="AF9" s="4">
        <v>6025</v>
      </c>
      <c r="AI9" s="3" t="s">
        <v>25</v>
      </c>
      <c r="AJ9" s="6">
        <v>1668553</v>
      </c>
      <c r="AK9" s="6">
        <v>1410976</v>
      </c>
      <c r="AL9" s="167">
        <f t="shared" si="11"/>
        <v>0.84562851764373081</v>
      </c>
      <c r="AM9" s="166">
        <v>1.38</v>
      </c>
      <c r="AN9" s="166">
        <v>1.56</v>
      </c>
      <c r="AO9" s="168">
        <f t="shared" si="12"/>
        <v>1.1304347826086958</v>
      </c>
      <c r="AP9" s="6">
        <v>8313</v>
      </c>
      <c r="AQ9" s="4">
        <v>6025</v>
      </c>
      <c r="AR9" s="164"/>
      <c r="AT9" s="14" t="s">
        <v>17</v>
      </c>
      <c r="AU9" s="27">
        <v>1</v>
      </c>
      <c r="AV9" s="27">
        <v>1</v>
      </c>
      <c r="AW9" s="27">
        <v>1</v>
      </c>
      <c r="AX9" s="30">
        <f t="shared" si="4"/>
        <v>1</v>
      </c>
      <c r="AZ9" s="9" t="s">
        <v>26</v>
      </c>
      <c r="BA9" s="27">
        <v>1</v>
      </c>
      <c r="BB9" s="27">
        <f t="shared" si="5"/>
        <v>0.875</v>
      </c>
      <c r="BC9" s="27">
        <f t="shared" si="6"/>
        <v>2.1512046746177859E-2</v>
      </c>
      <c r="BE9" s="172" t="s">
        <v>16</v>
      </c>
      <c r="BF9" s="173">
        <v>1.0415475851013487</v>
      </c>
      <c r="BG9" s="174">
        <v>293.92652712163374</v>
      </c>
      <c r="BH9" s="27">
        <f t="shared" si="7"/>
        <v>3.7220843672456573E-2</v>
      </c>
      <c r="BJ9" s="175" t="s">
        <v>19</v>
      </c>
      <c r="BK9" s="176">
        <v>1.34</v>
      </c>
      <c r="BL9" s="176">
        <v>1.17</v>
      </c>
      <c r="BM9" s="27">
        <f t="shared" si="8"/>
        <v>4.4685023613223407E-2</v>
      </c>
      <c r="BO9" s="135">
        <f>BM20-BO8</f>
        <v>0.31073401104618592</v>
      </c>
    </row>
    <row r="10" spans="2:67" x14ac:dyDescent="0.25">
      <c r="B10" s="132" t="s">
        <v>26</v>
      </c>
      <c r="C10" s="132">
        <v>1075</v>
      </c>
      <c r="D10" s="133">
        <f t="shared" si="2"/>
        <v>2.1512046746177859E-2</v>
      </c>
      <c r="F10" s="90" t="s">
        <v>19</v>
      </c>
      <c r="G10" s="94">
        <f>VLOOKUP(F10,'OR Q1'!$J$4:$N$18,'OR Q1'!$K$3,FALSE)</f>
        <v>0.7</v>
      </c>
      <c r="H10" s="91">
        <v>0.77700000000000002</v>
      </c>
      <c r="I10" s="27">
        <f t="shared" si="0"/>
        <v>1.1100000000000001</v>
      </c>
      <c r="J10" s="21">
        <f>VLOOKUP(F10,'OR Q1'!$J$4:$N$18,'OR Q1'!$N$3,FALSE)</f>
        <v>0.83</v>
      </c>
      <c r="K10" s="91">
        <v>0.94499999999999995</v>
      </c>
      <c r="L10" s="27">
        <f t="shared" si="1"/>
        <v>1.1385542168674698</v>
      </c>
      <c r="N10" s="136" t="s">
        <v>17</v>
      </c>
      <c r="O10" s="27">
        <v>0.52330879775674732</v>
      </c>
      <c r="P10" s="27">
        <v>0.68874868559411151</v>
      </c>
      <c r="Q10" s="138">
        <f t="shared" si="3"/>
        <v>1.3161419959812457</v>
      </c>
      <c r="S10" s="140" t="s">
        <v>19</v>
      </c>
      <c r="T10" s="27">
        <v>1.0857092306136893</v>
      </c>
      <c r="V10" s="3" t="s">
        <v>18</v>
      </c>
      <c r="W10" s="4">
        <v>1140771</v>
      </c>
      <c r="X10" s="4">
        <v>1143779</v>
      </c>
      <c r="Y10" s="130">
        <f t="shared" si="9"/>
        <v>1.0026368131728454</v>
      </c>
      <c r="Z10" s="5">
        <v>0.85</v>
      </c>
      <c r="AA10" s="5">
        <v>0.85</v>
      </c>
      <c r="AB10" s="130">
        <f t="shared" si="10"/>
        <v>1</v>
      </c>
      <c r="AC10" s="4">
        <v>8226</v>
      </c>
      <c r="AD10" s="4">
        <v>9680</v>
      </c>
      <c r="AE10" s="4">
        <v>8181</v>
      </c>
      <c r="AF10" s="4">
        <v>9680</v>
      </c>
      <c r="AI10" s="3" t="s">
        <v>18</v>
      </c>
      <c r="AJ10" s="6">
        <v>1140771</v>
      </c>
      <c r="AK10" s="6">
        <v>1143779</v>
      </c>
      <c r="AL10" s="167">
        <f t="shared" si="11"/>
        <v>1.0026368131728454</v>
      </c>
      <c r="AM10" s="166">
        <v>0.85</v>
      </c>
      <c r="AN10" s="166">
        <v>0.85</v>
      </c>
      <c r="AO10" s="168">
        <f t="shared" si="12"/>
        <v>1</v>
      </c>
      <c r="AP10" s="6">
        <v>8215</v>
      </c>
      <c r="AQ10" s="4">
        <v>9680</v>
      </c>
      <c r="AR10" s="164"/>
      <c r="AT10" s="14" t="s">
        <v>18</v>
      </c>
      <c r="AU10" s="27">
        <v>1</v>
      </c>
      <c r="AV10" s="27">
        <v>1</v>
      </c>
      <c r="AW10" s="27">
        <v>1</v>
      </c>
      <c r="AX10" s="30">
        <f t="shared" si="4"/>
        <v>1</v>
      </c>
      <c r="AZ10" s="9" t="s">
        <v>25</v>
      </c>
      <c r="BA10" s="27">
        <v>1</v>
      </c>
      <c r="BB10" s="27">
        <f t="shared" si="5"/>
        <v>0.75</v>
      </c>
      <c r="BC10" s="27">
        <f t="shared" si="6"/>
        <v>4.928760105659169E-2</v>
      </c>
      <c r="BE10" s="172" t="s">
        <v>19</v>
      </c>
      <c r="BF10" s="173">
        <v>0.93186595770990488</v>
      </c>
      <c r="BG10" s="174">
        <v>243.76890363217046</v>
      </c>
      <c r="BH10" s="27">
        <f t="shared" si="7"/>
        <v>4.4685023613223407E-2</v>
      </c>
      <c r="BJ10" s="175" t="s">
        <v>23</v>
      </c>
      <c r="BK10" s="176">
        <v>0.79</v>
      </c>
      <c r="BL10" s="176">
        <v>0.81</v>
      </c>
      <c r="BM10" s="27">
        <f t="shared" si="8"/>
        <v>4.8407107980469065E-2</v>
      </c>
    </row>
    <row r="11" spans="2:67" x14ac:dyDescent="0.25">
      <c r="B11" s="132" t="s">
        <v>13</v>
      </c>
      <c r="C11" s="132">
        <v>13520</v>
      </c>
      <c r="D11" s="133">
        <f t="shared" si="2"/>
        <v>0.27055150884495316</v>
      </c>
      <c r="F11" s="90" t="s">
        <v>23</v>
      </c>
      <c r="G11" s="94">
        <f>VLOOKUP(F11,'OR Q1'!$J$4:$N$18,'OR Q1'!$K$3,FALSE)</f>
        <v>0.75</v>
      </c>
      <c r="H11" s="91">
        <v>0.75700000000000001</v>
      </c>
      <c r="I11" s="27">
        <f t="shared" si="0"/>
        <v>1.0093333333333334</v>
      </c>
      <c r="J11" s="21">
        <f>VLOOKUP(F11,'OR Q1'!$J$4:$N$18,'OR Q1'!$N$3,FALSE)</f>
        <v>0.83</v>
      </c>
      <c r="K11" s="91">
        <v>0.86199999999999999</v>
      </c>
      <c r="L11" s="27">
        <f t="shared" si="1"/>
        <v>1.03855421686747</v>
      </c>
      <c r="N11" s="136" t="s">
        <v>26</v>
      </c>
      <c r="O11" s="27">
        <v>0.5596493484224967</v>
      </c>
      <c r="P11" s="27">
        <v>0.52057613168724282</v>
      </c>
      <c r="Q11" s="138">
        <f t="shared" si="3"/>
        <v>0.93018268162843232</v>
      </c>
      <c r="S11" s="140" t="s">
        <v>20</v>
      </c>
      <c r="T11" s="27">
        <v>1.0987458046281573</v>
      </c>
      <c r="V11" s="3" t="s">
        <v>66</v>
      </c>
      <c r="W11" s="5"/>
      <c r="X11" s="5"/>
      <c r="Y11" s="130" t="e">
        <f t="shared" si="9"/>
        <v>#DIV/0!</v>
      </c>
      <c r="Z11" s="5">
        <v>1.01</v>
      </c>
      <c r="AA11" s="5">
        <v>1.58</v>
      </c>
      <c r="AB11" s="130">
        <f t="shared" si="10"/>
        <v>1.5643564356435644</v>
      </c>
      <c r="AC11" s="5">
        <v>432</v>
      </c>
      <c r="AD11" s="5">
        <v>428</v>
      </c>
      <c r="AE11" s="5">
        <v>677</v>
      </c>
      <c r="AF11" s="5">
        <v>428</v>
      </c>
      <c r="AI11" s="3" t="s">
        <v>66</v>
      </c>
      <c r="AJ11" s="166"/>
      <c r="AK11" s="166"/>
      <c r="AL11" s="167"/>
      <c r="AM11" s="166">
        <v>1.26</v>
      </c>
      <c r="AN11" s="166">
        <v>1.58</v>
      </c>
      <c r="AO11" s="168">
        <f t="shared" si="12"/>
        <v>1.253968253968254</v>
      </c>
      <c r="AP11" s="166">
        <v>541</v>
      </c>
      <c r="AQ11" s="5">
        <v>428</v>
      </c>
      <c r="AR11" s="165"/>
      <c r="AT11" s="14" t="s">
        <v>19</v>
      </c>
      <c r="AU11" s="27">
        <v>0.75</v>
      </c>
      <c r="AV11" s="27">
        <v>1</v>
      </c>
      <c r="AW11" s="27">
        <v>1</v>
      </c>
      <c r="AX11" s="30">
        <f t="shared" si="4"/>
        <v>0.91666666666666663</v>
      </c>
      <c r="AZ11" s="9" t="s">
        <v>23</v>
      </c>
      <c r="BA11" s="27">
        <v>1</v>
      </c>
      <c r="BB11" s="27">
        <f t="shared" si="5"/>
        <v>0.875</v>
      </c>
      <c r="BC11" s="27">
        <f t="shared" si="6"/>
        <v>4.8407107980469065E-2</v>
      </c>
      <c r="BE11" s="172" t="s">
        <v>23</v>
      </c>
      <c r="BF11" s="173">
        <v>1.374509741902834</v>
      </c>
      <c r="BG11" s="174">
        <v>360.39105026633217</v>
      </c>
      <c r="BH11" s="27">
        <f t="shared" si="7"/>
        <v>4.8407107980469065E-2</v>
      </c>
      <c r="BJ11" s="175" t="s">
        <v>17</v>
      </c>
      <c r="BK11" s="176">
        <v>0.6</v>
      </c>
      <c r="BL11" s="176">
        <v>0.67</v>
      </c>
      <c r="BM11" s="27">
        <f t="shared" si="8"/>
        <v>4.7706715760826066E-2</v>
      </c>
    </row>
    <row r="12" spans="2:67" x14ac:dyDescent="0.25">
      <c r="B12" s="132" t="s">
        <v>15</v>
      </c>
      <c r="C12" s="132">
        <v>6589</v>
      </c>
      <c r="D12" s="133">
        <f t="shared" si="2"/>
        <v>0.13185383814936363</v>
      </c>
      <c r="F12" s="90" t="s">
        <v>20</v>
      </c>
      <c r="G12" s="94">
        <f>VLOOKUP(F12,'OR Q1'!$J$4:$N$18,'OR Q1'!$K$3,FALSE)</f>
        <v>0.7</v>
      </c>
      <c r="H12" s="92">
        <v>0.64300000000000002</v>
      </c>
      <c r="I12" s="27">
        <f t="shared" si="0"/>
        <v>0.91857142857142871</v>
      </c>
      <c r="J12" s="21">
        <f>VLOOKUP(F12,'OR Q1'!$J$4:$N$18,'OR Q1'!$N$3,FALSE)</f>
        <v>0.83</v>
      </c>
      <c r="K12" s="91">
        <v>1</v>
      </c>
      <c r="L12" s="27">
        <f t="shared" si="1"/>
        <v>1.2048192771084338</v>
      </c>
      <c r="N12" s="136" t="s">
        <v>25</v>
      </c>
      <c r="O12" s="27">
        <v>0.59310850439882712</v>
      </c>
      <c r="P12" s="27">
        <v>0.67155425219941345</v>
      </c>
      <c r="Q12" s="138">
        <f t="shared" si="3"/>
        <v>1.1322620519159452</v>
      </c>
      <c r="S12" s="140" t="s">
        <v>21</v>
      </c>
      <c r="T12" s="27">
        <v>1.0716166403370195</v>
      </c>
      <c r="V12" s="3" t="s">
        <v>68</v>
      </c>
      <c r="W12" s="5"/>
      <c r="X12" s="5">
        <v>831</v>
      </c>
      <c r="Y12" s="130" t="e">
        <f t="shared" si="9"/>
        <v>#DIV/0!</v>
      </c>
      <c r="Z12" s="5">
        <v>2.11</v>
      </c>
      <c r="AA12" s="5">
        <v>1.58</v>
      </c>
      <c r="AB12" s="130">
        <f t="shared" si="10"/>
        <v>0.74881516587677732</v>
      </c>
      <c r="AC12" s="4">
        <v>1278</v>
      </c>
      <c r="AD12" s="5">
        <v>605</v>
      </c>
      <c r="AE12" s="5">
        <v>959</v>
      </c>
      <c r="AF12" s="5">
        <v>605</v>
      </c>
      <c r="AI12" s="3" t="s">
        <v>68</v>
      </c>
      <c r="AJ12" s="166"/>
      <c r="AK12" s="166">
        <v>831</v>
      </c>
      <c r="AL12" s="167"/>
      <c r="AM12" s="166">
        <v>1.93</v>
      </c>
      <c r="AN12" s="166">
        <v>1.58</v>
      </c>
      <c r="AO12" s="168">
        <f t="shared" si="12"/>
        <v>0.81865284974093266</v>
      </c>
      <c r="AP12" s="6">
        <v>1170</v>
      </c>
      <c r="AQ12" s="5">
        <v>605</v>
      </c>
      <c r="AR12" s="164"/>
      <c r="AT12" s="14" t="s">
        <v>20</v>
      </c>
      <c r="AU12" s="27">
        <v>0.75</v>
      </c>
      <c r="AV12" s="27">
        <v>1</v>
      </c>
      <c r="AW12" s="27">
        <v>1</v>
      </c>
      <c r="AX12" s="30">
        <f t="shared" si="4"/>
        <v>0.91666666666666663</v>
      </c>
      <c r="AZ12" s="9" t="s">
        <v>17</v>
      </c>
      <c r="BA12" s="27">
        <v>1</v>
      </c>
      <c r="BB12" s="27">
        <f t="shared" si="5"/>
        <v>1</v>
      </c>
      <c r="BC12" s="27">
        <f t="shared" si="6"/>
        <v>4.7706715760826066E-2</v>
      </c>
      <c r="BE12" s="172" t="s">
        <v>20</v>
      </c>
      <c r="BF12" s="173">
        <v>1.1956858779912369</v>
      </c>
      <c r="BG12" s="174">
        <v>293.65148302109463</v>
      </c>
      <c r="BH12" s="27">
        <f t="shared" si="7"/>
        <v>5.0408228608020494E-2</v>
      </c>
      <c r="BJ12" s="175" t="s">
        <v>22</v>
      </c>
      <c r="BK12" s="176">
        <v>0.78</v>
      </c>
      <c r="BL12" s="176">
        <v>0.95</v>
      </c>
      <c r="BM12" s="27">
        <f t="shared" si="8"/>
        <v>4.2563835748018891E-2</v>
      </c>
    </row>
    <row r="13" spans="2:67" x14ac:dyDescent="0.25">
      <c r="B13" s="132" t="s">
        <v>83</v>
      </c>
      <c r="C13" s="132">
        <v>263</v>
      </c>
      <c r="D13" s="133">
        <f t="shared" si="2"/>
        <v>5.262947250460258E-3</v>
      </c>
      <c r="F13" s="90" t="s">
        <v>21</v>
      </c>
      <c r="G13" s="94">
        <f>VLOOKUP(F13,'OR Q1'!$J$4:$N$18,'OR Q1'!$K$3,FALSE)</f>
        <v>0.7</v>
      </c>
      <c r="H13" s="92">
        <v>0.6</v>
      </c>
      <c r="I13" s="27">
        <f t="shared" si="0"/>
        <v>0.85714285714285721</v>
      </c>
      <c r="J13" s="21">
        <f>VLOOKUP(F13,'OR Q1'!$J$4:$N$18,'OR Q1'!$N$3,FALSE)</f>
        <v>0.83</v>
      </c>
      <c r="K13" s="91">
        <v>0.91800000000000004</v>
      </c>
      <c r="L13" s="27">
        <f t="shared" si="1"/>
        <v>1.1060240963855423</v>
      </c>
      <c r="N13" s="136" t="s">
        <v>21</v>
      </c>
      <c r="O13" s="27">
        <v>0.56497524752475237</v>
      </c>
      <c r="P13" s="27">
        <v>0.48019801980198018</v>
      </c>
      <c r="Q13" s="138">
        <f t="shared" si="3"/>
        <v>0.8499452354874043</v>
      </c>
      <c r="S13" s="140" t="s">
        <v>22</v>
      </c>
      <c r="T13" s="27">
        <v>1.1111111111111112</v>
      </c>
      <c r="V13" s="3" t="s">
        <v>69</v>
      </c>
      <c r="W13" s="5"/>
      <c r="X13" s="5"/>
      <c r="Y13" s="130" t="e">
        <f t="shared" si="9"/>
        <v>#DIV/0!</v>
      </c>
      <c r="Z13" s="5">
        <v>1.18</v>
      </c>
      <c r="AA13" s="5" t="s">
        <v>67</v>
      </c>
      <c r="AB13" s="130"/>
      <c r="AC13" s="5">
        <v>70</v>
      </c>
      <c r="AD13" s="5">
        <v>59</v>
      </c>
      <c r="AE13" s="5"/>
      <c r="AF13" s="5">
        <v>59</v>
      </c>
      <c r="AI13" s="3" t="s">
        <v>69</v>
      </c>
      <c r="AJ13" s="166"/>
      <c r="AK13" s="166"/>
      <c r="AL13" s="167"/>
      <c r="AM13" s="166">
        <v>0.69</v>
      </c>
      <c r="AN13" s="166"/>
      <c r="AO13" s="168">
        <f t="shared" si="12"/>
        <v>0</v>
      </c>
      <c r="AP13" s="166">
        <v>41</v>
      </c>
      <c r="AQ13" s="5">
        <v>59</v>
      </c>
      <c r="AR13" s="165"/>
      <c r="AT13" s="14" t="s">
        <v>21</v>
      </c>
      <c r="AU13" s="27">
        <v>0.75</v>
      </c>
      <c r="AV13" s="27">
        <v>1</v>
      </c>
      <c r="AW13" s="27">
        <v>1</v>
      </c>
      <c r="AX13" s="30">
        <f t="shared" si="4"/>
        <v>0.91666666666666663</v>
      </c>
      <c r="AZ13" s="9" t="s">
        <v>14</v>
      </c>
      <c r="BA13" s="27">
        <v>1</v>
      </c>
      <c r="BB13" s="27">
        <f t="shared" si="5"/>
        <v>0.91666666666666663</v>
      </c>
      <c r="BC13" s="27">
        <f t="shared" si="6"/>
        <v>0.129572560633955</v>
      </c>
      <c r="BE13" s="172" t="s">
        <v>74</v>
      </c>
      <c r="BF13" s="173">
        <v>2.457486380870102</v>
      </c>
      <c r="BG13" s="174">
        <v>1.8497716444988701</v>
      </c>
      <c r="BH13" s="27">
        <f t="shared" si="7"/>
        <v>6.3635635956135438E-3</v>
      </c>
      <c r="BJ13" s="175" t="s">
        <v>16</v>
      </c>
      <c r="BK13" s="176">
        <v>1.33</v>
      </c>
      <c r="BL13" s="176">
        <v>1.1499999999999999</v>
      </c>
      <c r="BM13" s="27">
        <f t="shared" si="8"/>
        <v>3.7220843672456573E-2</v>
      </c>
    </row>
    <row r="14" spans="2:67" x14ac:dyDescent="0.25">
      <c r="B14" s="142" t="s">
        <v>71</v>
      </c>
      <c r="C14" s="142">
        <v>56</v>
      </c>
      <c r="D14" s="143">
        <f t="shared" si="2"/>
        <v>1.1206275514288001E-3</v>
      </c>
      <c r="F14" s="90" t="s">
        <v>25</v>
      </c>
      <c r="G14" s="94">
        <f>VLOOKUP(F14,'OR Q1'!$J$4:$N$18,'OR Q1'!$K$3,FALSE)</f>
        <v>0.84</v>
      </c>
      <c r="H14" s="91">
        <v>0.91</v>
      </c>
      <c r="I14" s="27">
        <f t="shared" si="0"/>
        <v>1.0833333333333335</v>
      </c>
      <c r="J14" s="21">
        <f>VLOOKUP(F14,'OR Q1'!$J$4:$N$18,'OR Q1'!$N$3,FALSE)</f>
        <v>0.9</v>
      </c>
      <c r="K14" s="91">
        <v>0.93600000000000005</v>
      </c>
      <c r="L14" s="27">
        <f t="shared" si="1"/>
        <v>1.04</v>
      </c>
      <c r="N14" s="136" t="s">
        <v>19</v>
      </c>
      <c r="O14" s="27">
        <v>0.4868443754313318</v>
      </c>
      <c r="P14" s="27">
        <v>0.51345755693581785</v>
      </c>
      <c r="Q14" s="138">
        <f t="shared" si="3"/>
        <v>1.0546646584566319</v>
      </c>
      <c r="S14" s="140" t="s">
        <v>23</v>
      </c>
      <c r="T14" s="27">
        <v>0.99721559268098647</v>
      </c>
      <c r="V14" s="3" t="s">
        <v>70</v>
      </c>
      <c r="W14" s="5"/>
      <c r="X14" s="5"/>
      <c r="Y14" s="130" t="e">
        <f t="shared" si="9"/>
        <v>#DIV/0!</v>
      </c>
      <c r="Z14" s="5">
        <v>1.01</v>
      </c>
      <c r="AA14" s="5">
        <v>0.32</v>
      </c>
      <c r="AB14" s="130">
        <f t="shared" si="10"/>
        <v>0.31683168316831684</v>
      </c>
      <c r="AC14" s="5">
        <v>428</v>
      </c>
      <c r="AD14" s="5">
        <v>423</v>
      </c>
      <c r="AE14" s="5">
        <v>134</v>
      </c>
      <c r="AF14" s="5">
        <v>423</v>
      </c>
      <c r="AI14" s="3" t="s">
        <v>70</v>
      </c>
      <c r="AJ14" s="166"/>
      <c r="AK14" s="166"/>
      <c r="AL14" s="167"/>
      <c r="AM14" s="166">
        <v>0.9</v>
      </c>
      <c r="AN14" s="166">
        <v>0.32</v>
      </c>
      <c r="AO14" s="168">
        <f t="shared" si="12"/>
        <v>0.35555555555555557</v>
      </c>
      <c r="AP14" s="166">
        <v>381</v>
      </c>
      <c r="AQ14" s="5">
        <v>423</v>
      </c>
      <c r="AR14" s="165"/>
      <c r="AT14" s="14" t="s">
        <v>22</v>
      </c>
      <c r="AU14" s="27">
        <v>1</v>
      </c>
      <c r="AV14" s="27">
        <v>1</v>
      </c>
      <c r="AW14" s="27">
        <v>1</v>
      </c>
      <c r="AX14" s="30">
        <f t="shared" si="4"/>
        <v>1</v>
      </c>
      <c r="AZ14" s="9" t="s">
        <v>22</v>
      </c>
      <c r="BA14" s="27">
        <v>1</v>
      </c>
      <c r="BB14" s="27">
        <f t="shared" si="5"/>
        <v>1</v>
      </c>
      <c r="BC14" s="27">
        <f t="shared" si="6"/>
        <v>4.2563835748018891E-2</v>
      </c>
      <c r="BE14" s="172" t="s">
        <v>21</v>
      </c>
      <c r="BF14" s="173">
        <v>1.0380439287194363</v>
      </c>
      <c r="BG14" s="174">
        <v>243.26843837791606</v>
      </c>
      <c r="BH14" s="27">
        <f t="shared" si="7"/>
        <v>2.3533178580004803E-2</v>
      </c>
      <c r="BJ14" s="175" t="s">
        <v>25</v>
      </c>
      <c r="BK14" s="176">
        <v>1.19</v>
      </c>
      <c r="BL14" s="176">
        <v>0.78</v>
      </c>
      <c r="BM14" s="27">
        <f t="shared" si="8"/>
        <v>4.928760105659169E-2</v>
      </c>
    </row>
    <row r="15" spans="2:67" x14ac:dyDescent="0.25">
      <c r="B15" s="132" t="s">
        <v>22</v>
      </c>
      <c r="C15" s="132">
        <v>2127</v>
      </c>
      <c r="D15" s="133">
        <f t="shared" si="2"/>
        <v>4.2563835748018891E-2</v>
      </c>
      <c r="F15" s="90" t="s">
        <v>22</v>
      </c>
      <c r="G15" s="94">
        <f>VLOOKUP(F15,'OR Q1'!$J$4:$N$18,'OR Q1'!$K$3,FALSE)</f>
        <v>0.7</v>
      </c>
      <c r="H15" s="91">
        <v>0.79</v>
      </c>
      <c r="I15" s="27">
        <f t="shared" si="0"/>
        <v>1.1285714285714288</v>
      </c>
      <c r="J15" s="21">
        <f>VLOOKUP(F15,'OR Q1'!$J$4:$N$18,'OR Q1'!$N$3,FALSE)</f>
        <v>0.88</v>
      </c>
      <c r="K15" s="91">
        <v>0.96299999999999997</v>
      </c>
      <c r="L15" s="27">
        <f t="shared" si="1"/>
        <v>1.0943181818181817</v>
      </c>
      <c r="N15" s="136" t="s">
        <v>23</v>
      </c>
      <c r="O15" s="27">
        <v>0.41269607843137263</v>
      </c>
      <c r="P15" s="27">
        <v>0.44941176470588234</v>
      </c>
      <c r="Q15" s="138">
        <f t="shared" si="3"/>
        <v>1.0889654353248601</v>
      </c>
      <c r="S15" s="140" t="s">
        <v>25</v>
      </c>
      <c r="T15" s="27">
        <v>0.96666666666666667</v>
      </c>
      <c r="V15" s="3" t="s">
        <v>71</v>
      </c>
      <c r="W15" s="5"/>
      <c r="X15" s="5"/>
      <c r="Y15" s="130" t="e">
        <f t="shared" si="9"/>
        <v>#DIV/0!</v>
      </c>
      <c r="Z15" s="5">
        <v>1.02</v>
      </c>
      <c r="AA15" s="5" t="s">
        <v>67</v>
      </c>
      <c r="AB15" s="130"/>
      <c r="AC15" s="5">
        <v>186</v>
      </c>
      <c r="AD15" s="5">
        <v>183</v>
      </c>
      <c r="AE15" s="5"/>
      <c r="AF15" s="5">
        <v>183</v>
      </c>
      <c r="AI15" s="3" t="s">
        <v>71</v>
      </c>
      <c r="AJ15" s="166"/>
      <c r="AK15" s="166"/>
      <c r="AL15" s="167"/>
      <c r="AM15" s="166">
        <v>0.57999999999999996</v>
      </c>
      <c r="AN15" s="166"/>
      <c r="AO15" s="168">
        <f t="shared" si="12"/>
        <v>0</v>
      </c>
      <c r="AP15" s="166">
        <v>107</v>
      </c>
      <c r="AQ15" s="5">
        <v>183</v>
      </c>
      <c r="AR15" s="165"/>
      <c r="AT15" s="14" t="s">
        <v>23</v>
      </c>
      <c r="AU15" s="27">
        <v>0.75</v>
      </c>
      <c r="AV15" s="23" t="s">
        <v>24</v>
      </c>
      <c r="AW15" s="27">
        <v>1</v>
      </c>
      <c r="AX15" s="30">
        <f t="shared" si="4"/>
        <v>0.875</v>
      </c>
      <c r="AZ15" s="9" t="s">
        <v>19</v>
      </c>
      <c r="BA15" s="27">
        <v>1</v>
      </c>
      <c r="BB15" s="27">
        <f t="shared" si="5"/>
        <v>0.91666666666666663</v>
      </c>
      <c r="BC15" s="27">
        <f t="shared" si="6"/>
        <v>4.4685023613223407E-2</v>
      </c>
      <c r="BE15" s="172" t="s">
        <v>14</v>
      </c>
      <c r="BF15" s="173">
        <v>0.85584126341364652</v>
      </c>
      <c r="BG15" s="174">
        <v>48.633809328958499</v>
      </c>
      <c r="BH15" s="27">
        <f t="shared" si="7"/>
        <v>0.129572560633955</v>
      </c>
      <c r="BJ15" s="175" t="s">
        <v>18</v>
      </c>
      <c r="BK15" s="176">
        <v>0.6</v>
      </c>
      <c r="BL15" s="176">
        <v>1.19</v>
      </c>
      <c r="BM15" s="27">
        <f t="shared" si="8"/>
        <v>3.7180821259905544E-2</v>
      </c>
    </row>
    <row r="16" spans="2:67" x14ac:dyDescent="0.25">
      <c r="B16" s="132" t="s">
        <v>16</v>
      </c>
      <c r="C16" s="132">
        <v>1860</v>
      </c>
      <c r="D16" s="133">
        <f t="shared" si="2"/>
        <v>3.7220843672456573E-2</v>
      </c>
      <c r="F16" s="90" t="s">
        <v>33</v>
      </c>
      <c r="G16" s="94">
        <f>VLOOKUP(F16,'OR Q1'!$J$4:$N$18,'OR Q1'!$K$3,FALSE)</f>
        <v>0.7</v>
      </c>
      <c r="H16" s="92">
        <v>0.52900000000000003</v>
      </c>
      <c r="I16" s="27">
        <f t="shared" si="0"/>
        <v>0.75571428571428578</v>
      </c>
      <c r="J16" s="21">
        <f>VLOOKUP(F16,'OR Q1'!$J$4:$N$18,'OR Q1'!$N$3,FALSE)</f>
        <v>0.88</v>
      </c>
      <c r="K16" s="91">
        <v>0.92700000000000005</v>
      </c>
      <c r="L16" s="27">
        <f t="shared" si="1"/>
        <v>1.053409090909091</v>
      </c>
      <c r="N16" s="136" t="s">
        <v>22</v>
      </c>
      <c r="O16" s="27">
        <v>0.65345014450867067</v>
      </c>
      <c r="P16" s="27">
        <v>0.68786127167630062</v>
      </c>
      <c r="Q16" s="138">
        <f t="shared" si="3"/>
        <v>1.0526606772633031</v>
      </c>
      <c r="S16" s="140" t="s">
        <v>26</v>
      </c>
      <c r="T16" s="27">
        <v>1.0926032293062735</v>
      </c>
      <c r="V16" s="3" t="s">
        <v>72</v>
      </c>
      <c r="W16" s="5"/>
      <c r="X16" s="5"/>
      <c r="Y16" s="130" t="e">
        <f t="shared" si="9"/>
        <v>#DIV/0!</v>
      </c>
      <c r="Z16" s="5">
        <v>1.01</v>
      </c>
      <c r="AA16" s="5">
        <v>2.88</v>
      </c>
      <c r="AB16" s="130">
        <f t="shared" si="10"/>
        <v>2.8514851485148514</v>
      </c>
      <c r="AC16" s="5">
        <v>192</v>
      </c>
      <c r="AD16" s="5">
        <v>190</v>
      </c>
      <c r="AE16" s="5">
        <v>549</v>
      </c>
      <c r="AF16" s="5">
        <v>190</v>
      </c>
      <c r="AI16" s="3" t="s">
        <v>72</v>
      </c>
      <c r="AJ16" s="166"/>
      <c r="AK16" s="166"/>
      <c r="AL16" s="167"/>
      <c r="AM16" s="166">
        <v>1.64</v>
      </c>
      <c r="AN16" s="166">
        <v>2.88</v>
      </c>
      <c r="AO16" s="168">
        <f t="shared" si="12"/>
        <v>1.7560975609756098</v>
      </c>
      <c r="AP16" s="166">
        <v>313</v>
      </c>
      <c r="AQ16" s="5">
        <v>190</v>
      </c>
      <c r="AR16" s="165"/>
      <c r="AT16" s="14" t="s">
        <v>25</v>
      </c>
      <c r="AU16" s="27">
        <v>0.5</v>
      </c>
      <c r="AV16" s="23" t="s">
        <v>24</v>
      </c>
      <c r="AW16" s="27">
        <v>1</v>
      </c>
      <c r="AX16" s="30">
        <f t="shared" si="4"/>
        <v>0.75</v>
      </c>
      <c r="AZ16" s="9" t="s">
        <v>20</v>
      </c>
      <c r="BA16" s="27">
        <v>1</v>
      </c>
      <c r="BB16" s="27">
        <f t="shared" si="5"/>
        <v>0.91666666666666663</v>
      </c>
      <c r="BC16" s="27">
        <f t="shared" si="6"/>
        <v>5.0408228608020494E-2</v>
      </c>
      <c r="BE16" s="172" t="s">
        <v>17</v>
      </c>
      <c r="BF16" s="173">
        <v>0.77357723577235771</v>
      </c>
      <c r="BG16" s="174">
        <v>223.0390280218918</v>
      </c>
      <c r="BH16" s="27">
        <f t="shared" si="7"/>
        <v>4.7706715760826066E-2</v>
      </c>
      <c r="BJ16" s="175" t="s">
        <v>33</v>
      </c>
      <c r="BK16" s="176">
        <v>0.72</v>
      </c>
      <c r="BL16" s="176">
        <v>0.87</v>
      </c>
      <c r="BM16" s="27">
        <f t="shared" si="8"/>
        <v>2.9836708556791804E-2</v>
      </c>
    </row>
    <row r="17" spans="2:65" x14ac:dyDescent="0.25">
      <c r="B17" s="132" t="s">
        <v>19</v>
      </c>
      <c r="C17" s="132">
        <v>2233</v>
      </c>
      <c r="D17" s="133">
        <f t="shared" si="2"/>
        <v>4.4685023613223407E-2</v>
      </c>
      <c r="N17" s="136" t="s">
        <v>20</v>
      </c>
      <c r="O17" s="27">
        <v>0.4710698689956333</v>
      </c>
      <c r="P17" s="27">
        <v>0.45633187772925765</v>
      </c>
      <c r="Q17" s="138">
        <f t="shared" si="3"/>
        <v>0.9687137891077634</v>
      </c>
      <c r="S17" s="140" t="s">
        <v>27</v>
      </c>
      <c r="T17" s="27">
        <v>0.90102442810934147</v>
      </c>
      <c r="V17" s="3" t="s">
        <v>73</v>
      </c>
      <c r="W17" s="5"/>
      <c r="X17" s="5"/>
      <c r="Y17" s="130" t="e">
        <f t="shared" si="9"/>
        <v>#DIV/0!</v>
      </c>
      <c r="Z17" s="5">
        <v>1.01</v>
      </c>
      <c r="AA17" s="5">
        <v>0.23</v>
      </c>
      <c r="AB17" s="130">
        <f t="shared" si="10"/>
        <v>0.22772277227722773</v>
      </c>
      <c r="AC17" s="5">
        <v>372</v>
      </c>
      <c r="AD17" s="5">
        <v>367</v>
      </c>
      <c r="AE17" s="5">
        <v>83</v>
      </c>
      <c r="AF17" s="5">
        <v>367</v>
      </c>
      <c r="AI17" s="3" t="s">
        <v>73</v>
      </c>
      <c r="AJ17" s="166"/>
      <c r="AK17" s="166"/>
      <c r="AL17" s="167"/>
      <c r="AM17" s="166">
        <v>0.81</v>
      </c>
      <c r="AN17" s="166">
        <v>0.23</v>
      </c>
      <c r="AO17" s="168">
        <f t="shared" si="12"/>
        <v>0.2839506172839506</v>
      </c>
      <c r="AP17" s="166">
        <v>297</v>
      </c>
      <c r="AQ17" s="5">
        <v>367</v>
      </c>
      <c r="AR17" s="165"/>
      <c r="AT17" s="14" t="s">
        <v>26</v>
      </c>
      <c r="AU17" s="27">
        <v>0.75</v>
      </c>
      <c r="AV17" s="23" t="s">
        <v>24</v>
      </c>
      <c r="AW17" s="27">
        <v>1</v>
      </c>
      <c r="AX17" s="30">
        <f t="shared" si="4"/>
        <v>0.875</v>
      </c>
      <c r="AZ17" s="9" t="s">
        <v>21</v>
      </c>
      <c r="BA17" s="27">
        <v>1</v>
      </c>
      <c r="BB17" s="27">
        <f t="shared" si="5"/>
        <v>0.91666666666666663</v>
      </c>
      <c r="BC17" s="27">
        <f t="shared" si="6"/>
        <v>2.3533178580004803E-2</v>
      </c>
      <c r="BE17" s="172" t="s">
        <v>25</v>
      </c>
      <c r="BF17" s="173">
        <v>1.5624317034373054</v>
      </c>
      <c r="BG17" s="174">
        <v>384.2354360488107</v>
      </c>
      <c r="BH17" s="27">
        <f t="shared" si="7"/>
        <v>4.928760105659169E-2</v>
      </c>
      <c r="BJ17" s="175" t="s">
        <v>21</v>
      </c>
      <c r="BK17" s="176">
        <v>0.6</v>
      </c>
      <c r="BL17" s="176">
        <v>1.17</v>
      </c>
      <c r="BM17" s="27">
        <f t="shared" si="8"/>
        <v>2.3533178580004803E-2</v>
      </c>
    </row>
    <row r="18" spans="2:65" x14ac:dyDescent="0.25">
      <c r="B18" s="142" t="s">
        <v>72</v>
      </c>
      <c r="C18" s="142">
        <v>55</v>
      </c>
      <c r="D18" s="143">
        <f t="shared" si="2"/>
        <v>1.1006163451532857E-3</v>
      </c>
      <c r="N18" s="136" t="s">
        <v>76</v>
      </c>
      <c r="O18" s="27">
        <v>0.26259946949602125</v>
      </c>
      <c r="P18" s="27">
        <v>0.28912466843501328</v>
      </c>
      <c r="Q18" s="138">
        <f t="shared" si="3"/>
        <v>1.101010101010101</v>
      </c>
      <c r="S18" s="140" t="s">
        <v>78</v>
      </c>
      <c r="T18" s="27">
        <v>0.59746538171816344</v>
      </c>
      <c r="V18" s="3" t="s">
        <v>74</v>
      </c>
      <c r="W18" s="4">
        <v>30000</v>
      </c>
      <c r="X18" s="5">
        <v>954</v>
      </c>
      <c r="Y18" s="130">
        <f t="shared" si="9"/>
        <v>3.1800000000000002E-2</v>
      </c>
      <c r="Z18" s="5">
        <v>2.11</v>
      </c>
      <c r="AA18" s="5">
        <v>2.46</v>
      </c>
      <c r="AB18" s="130">
        <f t="shared" si="10"/>
        <v>1.1658767772511849</v>
      </c>
      <c r="AC18" s="4">
        <v>2356</v>
      </c>
      <c r="AD18" s="4">
        <v>1117</v>
      </c>
      <c r="AE18" s="4">
        <v>2745</v>
      </c>
      <c r="AF18" s="4">
        <v>1117</v>
      </c>
      <c r="AI18" s="3" t="s">
        <v>74</v>
      </c>
      <c r="AJ18" s="6">
        <v>30000</v>
      </c>
      <c r="AK18" s="166">
        <v>954</v>
      </c>
      <c r="AL18" s="167">
        <f t="shared" si="11"/>
        <v>3.1800000000000002E-2</v>
      </c>
      <c r="AM18" s="166">
        <v>2.29</v>
      </c>
      <c r="AN18" s="166">
        <v>2.46</v>
      </c>
      <c r="AO18" s="168">
        <f t="shared" si="12"/>
        <v>1.0742358078602621</v>
      </c>
      <c r="AP18" s="6">
        <v>2560</v>
      </c>
      <c r="AQ18" s="4">
        <v>1117</v>
      </c>
      <c r="AR18" s="164"/>
      <c r="AT18" s="14" t="s">
        <v>27</v>
      </c>
      <c r="AU18" s="27">
        <v>0.75</v>
      </c>
      <c r="AV18" s="23" t="s">
        <v>24</v>
      </c>
      <c r="AW18" s="27">
        <v>1</v>
      </c>
      <c r="AX18" s="30">
        <f t="shared" si="4"/>
        <v>0.875</v>
      </c>
      <c r="AZ18" s="9" t="s">
        <v>85</v>
      </c>
      <c r="BA18" s="27">
        <v>0.25</v>
      </c>
      <c r="BB18" s="27">
        <f t="shared" si="5"/>
        <v>0.875</v>
      </c>
      <c r="BC18" s="27">
        <f t="shared" si="6"/>
        <v>1.264708236612503E-2</v>
      </c>
      <c r="BE18" s="172" t="s">
        <v>76</v>
      </c>
      <c r="BF18" s="173">
        <v>1.0533085989984103</v>
      </c>
      <c r="BG18" s="174">
        <v>17.888787963976622</v>
      </c>
      <c r="BH18" s="27">
        <f t="shared" si="7"/>
        <v>1.9630993356279516E-2</v>
      </c>
      <c r="BJ18" s="175" t="s">
        <v>26</v>
      </c>
      <c r="BK18" s="176">
        <v>1.1299999999999999</v>
      </c>
      <c r="BL18" s="176">
        <v>0.96</v>
      </c>
      <c r="BM18" s="27">
        <f t="shared" si="8"/>
        <v>2.1512046746177859E-2</v>
      </c>
    </row>
    <row r="19" spans="2:65" x14ac:dyDescent="0.25">
      <c r="B19" s="142" t="s">
        <v>73</v>
      </c>
      <c r="C19" s="142">
        <v>80</v>
      </c>
      <c r="D19" s="143">
        <f t="shared" si="2"/>
        <v>1.6008965020411431E-3</v>
      </c>
      <c r="F19" s="11" t="s">
        <v>171</v>
      </c>
      <c r="N19" s="136" t="s">
        <v>146</v>
      </c>
      <c r="O19" s="27">
        <v>0.24827694235588973</v>
      </c>
      <c r="P19" s="27">
        <v>7.5187969924812026E-3</v>
      </c>
      <c r="Q19" s="138">
        <f t="shared" si="3"/>
        <v>3.0283911671924287E-2</v>
      </c>
      <c r="S19" s="140" t="s">
        <v>84</v>
      </c>
      <c r="T19" s="27">
        <v>1.9770660340055358E-3</v>
      </c>
      <c r="V19" s="3" t="s">
        <v>75</v>
      </c>
      <c r="W19" s="5"/>
      <c r="X19" s="5"/>
      <c r="Y19" s="130" t="e">
        <f t="shared" si="9"/>
        <v>#DIV/0!</v>
      </c>
      <c r="Z19" s="5">
        <v>1.01</v>
      </c>
      <c r="AA19" s="5" t="s">
        <v>67</v>
      </c>
      <c r="AB19" s="130"/>
      <c r="AC19" s="5">
        <v>297</v>
      </c>
      <c r="AD19" s="5">
        <v>294</v>
      </c>
      <c r="AE19" s="5"/>
      <c r="AF19" s="5">
        <v>294</v>
      </c>
      <c r="AI19" s="3" t="s">
        <v>75</v>
      </c>
      <c r="AJ19" s="166"/>
      <c r="AK19" s="166"/>
      <c r="AL19" s="167"/>
      <c r="AM19" s="166">
        <v>0.57999999999999996</v>
      </c>
      <c r="AN19" s="166"/>
      <c r="AO19" s="168">
        <f t="shared" si="12"/>
        <v>0</v>
      </c>
      <c r="AP19" s="166">
        <v>171</v>
      </c>
      <c r="AQ19" s="5">
        <v>294</v>
      </c>
      <c r="AR19" s="165"/>
      <c r="AT19" s="29" t="s">
        <v>78</v>
      </c>
      <c r="AU19" s="27">
        <v>0.75</v>
      </c>
      <c r="AV19" s="23" t="s">
        <v>24</v>
      </c>
      <c r="AW19" s="27">
        <v>1</v>
      </c>
      <c r="AX19" s="30">
        <f t="shared" si="4"/>
        <v>0.875</v>
      </c>
      <c r="AZ19" s="9" t="s">
        <v>27</v>
      </c>
      <c r="BA19" s="27">
        <v>0</v>
      </c>
      <c r="BB19" s="27">
        <f t="shared" si="5"/>
        <v>0.875</v>
      </c>
      <c r="BC19" s="27">
        <f t="shared" si="6"/>
        <v>2.9836708556791804E-2</v>
      </c>
      <c r="BE19" s="172" t="s">
        <v>18</v>
      </c>
      <c r="BF19" s="173">
        <v>0.84514462809917357</v>
      </c>
      <c r="BG19" s="174">
        <v>217.23928124794537</v>
      </c>
      <c r="BH19" s="27">
        <f t="shared" si="7"/>
        <v>3.7180821259905544E-2</v>
      </c>
      <c r="BJ19" s="175" t="s">
        <v>85</v>
      </c>
      <c r="BK19" s="176">
        <v>0.75</v>
      </c>
      <c r="BL19" s="176">
        <v>0.94</v>
      </c>
      <c r="BM19" s="27">
        <f t="shared" si="8"/>
        <v>1.264708236612503E-2</v>
      </c>
    </row>
    <row r="20" spans="2:65" x14ac:dyDescent="0.25">
      <c r="B20" s="132" t="s">
        <v>23</v>
      </c>
      <c r="C20" s="132">
        <v>2419</v>
      </c>
      <c r="D20" s="133">
        <f t="shared" si="2"/>
        <v>4.8407107980469065E-2</v>
      </c>
      <c r="N20" s="136" t="s">
        <v>33</v>
      </c>
      <c r="O20" s="27"/>
      <c r="P20" s="27"/>
      <c r="Q20" s="138">
        <f>P23+P24</f>
        <v>0.76059936908517345</v>
      </c>
      <c r="S20" s="140" t="s">
        <v>81</v>
      </c>
      <c r="T20" s="27">
        <v>0.96546546546546541</v>
      </c>
      <c r="V20" s="3" t="s">
        <v>77</v>
      </c>
      <c r="W20" s="5"/>
      <c r="X20" s="5"/>
      <c r="Y20" s="130" t="e">
        <f t="shared" si="9"/>
        <v>#DIV/0!</v>
      </c>
      <c r="Z20" s="5" t="s">
        <v>67</v>
      </c>
      <c r="AA20" s="5">
        <v>0.86</v>
      </c>
      <c r="AB20" s="130"/>
      <c r="AC20" s="5"/>
      <c r="AD20" s="5">
        <v>153</v>
      </c>
      <c r="AE20" s="5">
        <v>132</v>
      </c>
      <c r="AF20" s="5">
        <v>153</v>
      </c>
      <c r="AI20" s="3" t="s">
        <v>77</v>
      </c>
      <c r="AJ20" s="166"/>
      <c r="AK20" s="166"/>
      <c r="AL20" s="167"/>
      <c r="AM20" s="166">
        <v>0.41</v>
      </c>
      <c r="AN20" s="166">
        <v>0.86</v>
      </c>
      <c r="AO20" s="168">
        <f t="shared" si="12"/>
        <v>2.0975609756097562</v>
      </c>
      <c r="AP20" s="166">
        <v>63</v>
      </c>
      <c r="AQ20" s="5">
        <v>153</v>
      </c>
      <c r="AR20" s="165"/>
      <c r="AZ20"/>
      <c r="BA20"/>
      <c r="BM20" s="135">
        <f>SUM(BM5:BM19)</f>
        <v>0.97696710157688316</v>
      </c>
    </row>
    <row r="21" spans="2:65" x14ac:dyDescent="0.25">
      <c r="B21" s="132" t="s">
        <v>84</v>
      </c>
      <c r="C21" s="132">
        <v>81</v>
      </c>
      <c r="D21" s="133">
        <f t="shared" si="2"/>
        <v>1.6209077083166573E-3</v>
      </c>
      <c r="N21" s="136" t="s">
        <v>78</v>
      </c>
      <c r="O21" s="27">
        <v>0.41113616838487976</v>
      </c>
      <c r="P21" s="27">
        <v>0.32989690721649484</v>
      </c>
      <c r="Q21" s="138">
        <f t="shared" si="3"/>
        <v>0.8024030299072743</v>
      </c>
      <c r="S21" s="140" t="s">
        <v>82</v>
      </c>
      <c r="T21" s="27">
        <v>0.29751062537947787</v>
      </c>
      <c r="V21" s="3" t="s">
        <v>79</v>
      </c>
      <c r="W21" s="5"/>
      <c r="X21" s="4">
        <v>30934</v>
      </c>
      <c r="Y21" s="130" t="e">
        <f t="shared" si="9"/>
        <v>#DIV/0!</v>
      </c>
      <c r="Z21" s="5">
        <v>2.11</v>
      </c>
      <c r="AA21" s="5">
        <v>2.72</v>
      </c>
      <c r="AB21" s="130">
        <f t="shared" si="10"/>
        <v>1.2890995260663509</v>
      </c>
      <c r="AC21" s="5">
        <v>495</v>
      </c>
      <c r="AD21" s="5">
        <v>234</v>
      </c>
      <c r="AE21" s="5">
        <v>637</v>
      </c>
      <c r="AF21" s="5">
        <v>234</v>
      </c>
      <c r="AI21" s="3" t="s">
        <v>79</v>
      </c>
      <c r="AJ21" s="166"/>
      <c r="AK21" s="6">
        <v>30934</v>
      </c>
      <c r="AL21" s="167"/>
      <c r="AM21" s="166">
        <v>2.4700000000000002</v>
      </c>
      <c r="AN21" s="166">
        <v>2.72</v>
      </c>
      <c r="AO21" s="168">
        <f t="shared" si="12"/>
        <v>1.1012145748987854</v>
      </c>
      <c r="AP21" s="166">
        <v>578</v>
      </c>
      <c r="AQ21" s="5">
        <v>234</v>
      </c>
      <c r="AR21" s="165"/>
      <c r="AZ21"/>
      <c r="BA21"/>
    </row>
    <row r="22" spans="2:65" x14ac:dyDescent="0.25">
      <c r="B22" s="132" t="s">
        <v>20</v>
      </c>
      <c r="C22" s="132">
        <v>2519</v>
      </c>
      <c r="D22" s="133">
        <f t="shared" si="2"/>
        <v>5.0408228608020494E-2</v>
      </c>
      <c r="F22" s="20" t="s">
        <v>1</v>
      </c>
      <c r="G22" s="20" t="s">
        <v>2</v>
      </c>
      <c r="H22" s="20" t="s">
        <v>3</v>
      </c>
      <c r="I22" s="20" t="s">
        <v>142</v>
      </c>
      <c r="S22" s="140" t="s">
        <v>83</v>
      </c>
      <c r="T22" s="27">
        <v>1.1111111111111112</v>
      </c>
      <c r="V22" s="3" t="s">
        <v>80</v>
      </c>
      <c r="W22" s="5"/>
      <c r="X22" s="5"/>
      <c r="Y22" s="130" t="e">
        <f t="shared" si="9"/>
        <v>#DIV/0!</v>
      </c>
      <c r="Z22" s="5">
        <v>2.1</v>
      </c>
      <c r="AA22" s="5" t="s">
        <v>67</v>
      </c>
      <c r="AB22" s="130"/>
      <c r="AC22" s="5">
        <v>192</v>
      </c>
      <c r="AD22" s="5">
        <v>92</v>
      </c>
      <c r="AE22" s="5"/>
      <c r="AF22" s="5">
        <v>92</v>
      </c>
      <c r="AI22" s="3" t="s">
        <v>80</v>
      </c>
      <c r="AJ22" s="166"/>
      <c r="AK22" s="166"/>
      <c r="AL22" s="167"/>
      <c r="AM22" s="166">
        <v>1.31</v>
      </c>
      <c r="AN22" s="166"/>
      <c r="AO22" s="168">
        <f t="shared" si="12"/>
        <v>0</v>
      </c>
      <c r="AP22" s="166">
        <v>120</v>
      </c>
      <c r="AQ22" s="5">
        <v>92</v>
      </c>
      <c r="AR22" s="165"/>
      <c r="AZ22"/>
      <c r="BA22"/>
    </row>
    <row r="23" spans="2:65" x14ac:dyDescent="0.25">
      <c r="B23" s="132" t="s">
        <v>74</v>
      </c>
      <c r="C23" s="132">
        <v>318</v>
      </c>
      <c r="D23" s="133">
        <f t="shared" si="2"/>
        <v>6.3635635956135438E-3</v>
      </c>
      <c r="F23" s="23" t="s">
        <v>13</v>
      </c>
      <c r="G23" s="27">
        <v>1.0051282051282051</v>
      </c>
      <c r="H23" s="27">
        <v>1.0402173913043478</v>
      </c>
      <c r="I23" s="27">
        <f>VLOOKUP(F23,$B$2:$D$35,$D$1,FALSE)</f>
        <v>0.27055150884495316</v>
      </c>
      <c r="J23" s="135">
        <f>I30+I36+I31</f>
        <v>0.1037781157448171</v>
      </c>
      <c r="O23" s="11" t="s">
        <v>76</v>
      </c>
      <c r="P23" s="135">
        <v>0.75</v>
      </c>
      <c r="V23" s="3" t="s">
        <v>76</v>
      </c>
      <c r="W23" s="4">
        <v>101858</v>
      </c>
      <c r="X23" s="4">
        <v>126970</v>
      </c>
      <c r="Y23" s="130">
        <f t="shared" si="9"/>
        <v>1.2465392998095388</v>
      </c>
      <c r="Z23" s="5">
        <v>1.01</v>
      </c>
      <c r="AA23" s="5">
        <v>1.05</v>
      </c>
      <c r="AB23" s="130">
        <f t="shared" si="10"/>
        <v>1.0396039603960396</v>
      </c>
      <c r="AC23" s="4">
        <v>5308</v>
      </c>
      <c r="AD23" s="4">
        <v>5240</v>
      </c>
      <c r="AE23" s="4">
        <v>5519</v>
      </c>
      <c r="AF23" s="4">
        <v>5240</v>
      </c>
      <c r="AI23" s="3" t="s">
        <v>76</v>
      </c>
      <c r="AJ23" s="6">
        <v>101858</v>
      </c>
      <c r="AK23" s="6">
        <v>126970</v>
      </c>
      <c r="AL23" s="167">
        <f t="shared" si="11"/>
        <v>1.2465392998095388</v>
      </c>
      <c r="AM23" s="166">
        <v>1</v>
      </c>
      <c r="AN23" s="166">
        <v>1.05</v>
      </c>
      <c r="AO23" s="168">
        <f t="shared" si="12"/>
        <v>1.05</v>
      </c>
      <c r="AP23" s="6">
        <v>5259</v>
      </c>
      <c r="AQ23" s="4">
        <v>5240</v>
      </c>
      <c r="AR23" s="164"/>
    </row>
    <row r="24" spans="2:65" x14ac:dyDescent="0.25">
      <c r="B24" s="132" t="s">
        <v>21</v>
      </c>
      <c r="C24" s="132">
        <v>1176</v>
      </c>
      <c r="D24" s="133">
        <f t="shared" si="2"/>
        <v>2.3533178580004803E-2</v>
      </c>
      <c r="F24" s="23" t="s">
        <v>14</v>
      </c>
      <c r="G24" s="27">
        <v>1.0219512195121951</v>
      </c>
      <c r="H24" s="27">
        <v>1.0087912087912088</v>
      </c>
      <c r="I24" s="27">
        <f t="shared" ref="I24:I35" si="13">VLOOKUP(F24,$B$2:$D$35,$D$1,FALSE)</f>
        <v>0.129572560633955</v>
      </c>
      <c r="J24" s="135">
        <f>I23+I24+I25+I26+I27+I28+I29+I32+I33+I34+I35</f>
        <v>0.86054190346594106</v>
      </c>
      <c r="O24" s="11" t="s">
        <v>146</v>
      </c>
      <c r="P24" s="83">
        <f>Q19*35%/100%</f>
        <v>1.0599369085173499E-2</v>
      </c>
      <c r="V24" s="3" t="s">
        <v>17</v>
      </c>
      <c r="W24" s="4">
        <v>1610884</v>
      </c>
      <c r="X24" s="4">
        <v>1426757</v>
      </c>
      <c r="Y24" s="130">
        <f t="shared" si="9"/>
        <v>0.8856981632445291</v>
      </c>
      <c r="Z24" s="5">
        <v>0.77</v>
      </c>
      <c r="AA24" s="5">
        <v>0.77</v>
      </c>
      <c r="AB24" s="130">
        <f t="shared" si="10"/>
        <v>1</v>
      </c>
      <c r="AC24" s="4">
        <v>13275</v>
      </c>
      <c r="AD24" s="4">
        <v>17220</v>
      </c>
      <c r="AE24" s="4">
        <v>13321</v>
      </c>
      <c r="AF24" s="4">
        <v>17220</v>
      </c>
      <c r="AI24" s="3" t="s">
        <v>17</v>
      </c>
      <c r="AJ24" s="6">
        <v>1610884</v>
      </c>
      <c r="AK24" s="6">
        <v>1426757</v>
      </c>
      <c r="AL24" s="167">
        <f t="shared" si="11"/>
        <v>0.8856981632445291</v>
      </c>
      <c r="AM24" s="166">
        <v>0.77</v>
      </c>
      <c r="AN24" s="166">
        <v>0.77</v>
      </c>
      <c r="AO24" s="168">
        <f t="shared" si="12"/>
        <v>1</v>
      </c>
      <c r="AP24" s="6">
        <v>13295</v>
      </c>
      <c r="AQ24" s="4">
        <v>17220</v>
      </c>
      <c r="AR24" s="164"/>
    </row>
    <row r="25" spans="2:65" x14ac:dyDescent="0.25">
      <c r="B25" s="132" t="s">
        <v>14</v>
      </c>
      <c r="C25" s="132">
        <v>6475</v>
      </c>
      <c r="D25" s="133">
        <f t="shared" si="2"/>
        <v>0.129572560633955</v>
      </c>
      <c r="F25" s="23" t="s">
        <v>15</v>
      </c>
      <c r="G25" s="27">
        <v>1.0336956521739129</v>
      </c>
      <c r="H25" s="27">
        <v>1.0163043478260869</v>
      </c>
      <c r="I25" s="27">
        <f t="shared" si="13"/>
        <v>0.13185383814936363</v>
      </c>
      <c r="V25" s="2" t="s">
        <v>23</v>
      </c>
      <c r="W25" s="4">
        <v>1030080</v>
      </c>
      <c r="X25" s="4">
        <v>1306799</v>
      </c>
      <c r="Y25" s="130">
        <f t="shared" si="9"/>
        <v>1.2686383581857721</v>
      </c>
      <c r="Z25" s="5">
        <v>1.39</v>
      </c>
      <c r="AA25" s="5">
        <v>1.37</v>
      </c>
      <c r="AB25" s="130">
        <f t="shared" si="10"/>
        <v>0.98561151079136711</v>
      </c>
      <c r="AC25" s="4">
        <v>9106</v>
      </c>
      <c r="AD25" s="4">
        <v>6541</v>
      </c>
      <c r="AE25" s="4">
        <v>8991</v>
      </c>
      <c r="AF25" s="4">
        <v>6541</v>
      </c>
      <c r="AI25" s="2" t="s">
        <v>23</v>
      </c>
      <c r="AJ25" s="6">
        <v>1030080</v>
      </c>
      <c r="AK25" s="6">
        <v>1306799</v>
      </c>
      <c r="AL25" s="167">
        <f t="shared" si="11"/>
        <v>1.2686383581857721</v>
      </c>
      <c r="AM25" s="166">
        <v>1.39</v>
      </c>
      <c r="AN25" s="166">
        <v>1.37</v>
      </c>
      <c r="AO25" s="168">
        <f t="shared" si="12"/>
        <v>0.98561151079136711</v>
      </c>
      <c r="AP25" s="6">
        <v>9099</v>
      </c>
      <c r="AQ25" s="4">
        <v>6541</v>
      </c>
      <c r="AR25" s="164"/>
    </row>
    <row r="26" spans="2:65" x14ac:dyDescent="0.25">
      <c r="B26" s="132" t="s">
        <v>17</v>
      </c>
      <c r="C26" s="132">
        <v>2384</v>
      </c>
      <c r="D26" s="133">
        <f t="shared" si="2"/>
        <v>4.7706715760826066E-2</v>
      </c>
      <c r="F26" s="23" t="s">
        <v>16</v>
      </c>
      <c r="G26" s="27">
        <v>1.0211764705882354</v>
      </c>
      <c r="H26" s="27">
        <v>1.0446808510638299</v>
      </c>
      <c r="I26" s="27">
        <f t="shared" si="13"/>
        <v>3.7220843672456573E-2</v>
      </c>
      <c r="V26" s="2" t="s">
        <v>19</v>
      </c>
      <c r="W26" s="4">
        <v>939310</v>
      </c>
      <c r="X26" s="4">
        <v>1000559</v>
      </c>
      <c r="Y26" s="130">
        <f t="shared" si="9"/>
        <v>1.065206374892208</v>
      </c>
      <c r="Z26" s="5">
        <v>0.99</v>
      </c>
      <c r="AA26" s="5">
        <v>0.93</v>
      </c>
      <c r="AB26" s="130">
        <f t="shared" si="10"/>
        <v>0.93939393939393945</v>
      </c>
      <c r="AC26" s="4">
        <v>6702</v>
      </c>
      <c r="AD26" s="4">
        <v>6739</v>
      </c>
      <c r="AE26" s="4">
        <v>6280</v>
      </c>
      <c r="AF26" s="4">
        <v>6739</v>
      </c>
      <c r="AI26" s="2" t="s">
        <v>19</v>
      </c>
      <c r="AJ26" s="6">
        <v>939310</v>
      </c>
      <c r="AK26" s="6">
        <v>1000559</v>
      </c>
      <c r="AL26" s="167">
        <f t="shared" si="11"/>
        <v>1.065206374892208</v>
      </c>
      <c r="AM26" s="166">
        <v>0.96</v>
      </c>
      <c r="AN26" s="166">
        <v>0.93</v>
      </c>
      <c r="AO26" s="168">
        <f t="shared" si="12"/>
        <v>0.96875000000000011</v>
      </c>
      <c r="AP26" s="6">
        <v>6471</v>
      </c>
      <c r="AQ26" s="4">
        <v>6739</v>
      </c>
      <c r="AR26" s="164"/>
    </row>
    <row r="27" spans="2:65" x14ac:dyDescent="0.25">
      <c r="B27" s="132" t="s">
        <v>25</v>
      </c>
      <c r="C27" s="132">
        <v>2463</v>
      </c>
      <c r="D27" s="133">
        <f t="shared" si="2"/>
        <v>4.928760105659169E-2</v>
      </c>
      <c r="F27" s="23" t="s">
        <v>17</v>
      </c>
      <c r="G27" s="27">
        <v>1.0220930232558141</v>
      </c>
      <c r="H27" s="27">
        <v>1.0844444444444443</v>
      </c>
      <c r="I27" s="27">
        <f t="shared" si="13"/>
        <v>4.7706715760826066E-2</v>
      </c>
      <c r="V27" s="2" t="s">
        <v>20</v>
      </c>
      <c r="W27" s="4">
        <v>1073461</v>
      </c>
      <c r="X27" s="4">
        <v>1184707</v>
      </c>
      <c r="Y27" s="130">
        <f t="shared" si="9"/>
        <v>1.1036330150792624</v>
      </c>
      <c r="Z27" s="5">
        <v>1.1599999999999999</v>
      </c>
      <c r="AA27" s="5">
        <v>1.2</v>
      </c>
      <c r="AB27" s="130">
        <f t="shared" si="10"/>
        <v>1.0344827586206897</v>
      </c>
      <c r="AC27" s="4">
        <v>8640</v>
      </c>
      <c r="AD27" s="4">
        <v>7418</v>
      </c>
      <c r="AE27" s="4">
        <v>8869</v>
      </c>
      <c r="AF27" s="4">
        <v>7418</v>
      </c>
      <c r="AI27" s="2" t="s">
        <v>20</v>
      </c>
      <c r="AJ27" s="6">
        <v>1073461</v>
      </c>
      <c r="AK27" s="6">
        <v>1184707</v>
      </c>
      <c r="AL27" s="167">
        <f t="shared" si="11"/>
        <v>1.1036330150792624</v>
      </c>
      <c r="AM27" s="166">
        <v>1.1599999999999999</v>
      </c>
      <c r="AN27" s="166">
        <v>1.2</v>
      </c>
      <c r="AO27" s="168">
        <f t="shared" si="12"/>
        <v>1.0344827586206897</v>
      </c>
      <c r="AP27" s="6">
        <v>8619</v>
      </c>
      <c r="AQ27" s="4">
        <v>7418</v>
      </c>
      <c r="AR27" s="164"/>
    </row>
    <row r="28" spans="2:65" x14ac:dyDescent="0.25">
      <c r="B28" s="142" t="s">
        <v>75</v>
      </c>
      <c r="C28" s="142">
        <v>49</v>
      </c>
      <c r="D28" s="143">
        <f t="shared" si="2"/>
        <v>9.805491075002002E-4</v>
      </c>
      <c r="F28" s="23" t="s">
        <v>18</v>
      </c>
      <c r="G28" s="27">
        <v>1.0563829787234043</v>
      </c>
      <c r="H28" s="27">
        <v>1.0378947368421052</v>
      </c>
      <c r="I28" s="27">
        <f t="shared" si="13"/>
        <v>3.7180821259905544E-2</v>
      </c>
      <c r="V28" s="2" t="s">
        <v>21</v>
      </c>
      <c r="W28" s="4">
        <v>371216</v>
      </c>
      <c r="X28" s="4">
        <v>424289</v>
      </c>
      <c r="Y28" s="130">
        <f t="shared" si="9"/>
        <v>1.1429706693676998</v>
      </c>
      <c r="Z28" s="5">
        <v>0.91</v>
      </c>
      <c r="AA28" s="5">
        <v>1.04</v>
      </c>
      <c r="AB28" s="130">
        <f t="shared" si="10"/>
        <v>1.1428571428571428</v>
      </c>
      <c r="AC28" s="4">
        <v>2759</v>
      </c>
      <c r="AD28" s="4">
        <v>3016</v>
      </c>
      <c r="AE28" s="4">
        <v>3131</v>
      </c>
      <c r="AF28" s="4">
        <v>3016</v>
      </c>
      <c r="AI28" s="2" t="s">
        <v>21</v>
      </c>
      <c r="AJ28" s="6">
        <v>371216</v>
      </c>
      <c r="AK28" s="6">
        <v>424289</v>
      </c>
      <c r="AL28" s="167">
        <f t="shared" si="11"/>
        <v>1.1429706693676998</v>
      </c>
      <c r="AM28" s="166">
        <v>0.95</v>
      </c>
      <c r="AN28" s="166">
        <v>1.04</v>
      </c>
      <c r="AO28" s="168">
        <f t="shared" si="12"/>
        <v>1.0947368421052632</v>
      </c>
      <c r="AP28" s="6">
        <v>2864</v>
      </c>
      <c r="AQ28" s="4">
        <v>3016</v>
      </c>
      <c r="AR28" s="164"/>
    </row>
    <row r="29" spans="2:65" x14ac:dyDescent="0.25">
      <c r="B29" s="142" t="s">
        <v>77</v>
      </c>
      <c r="C29" s="142">
        <v>35</v>
      </c>
      <c r="D29" s="143">
        <f t="shared" si="2"/>
        <v>7.0039221964300006E-4</v>
      </c>
      <c r="F29" s="23" t="s">
        <v>19</v>
      </c>
      <c r="G29" s="27">
        <v>1.1100000000000001</v>
      </c>
      <c r="H29" s="27">
        <v>1.1385542168674698</v>
      </c>
      <c r="I29" s="27">
        <f t="shared" si="13"/>
        <v>4.4685023613223407E-2</v>
      </c>
      <c r="V29" s="3" t="s">
        <v>81</v>
      </c>
      <c r="W29" s="4">
        <v>124878</v>
      </c>
      <c r="X29" s="4">
        <v>118599</v>
      </c>
      <c r="Y29" s="130">
        <f t="shared" si="9"/>
        <v>0.94971892567145533</v>
      </c>
      <c r="Z29" s="5" t="s">
        <v>67</v>
      </c>
      <c r="AA29" s="5" t="s">
        <v>67</v>
      </c>
      <c r="AB29" s="130"/>
      <c r="AC29" s="5"/>
      <c r="AD29" s="5">
        <v>793</v>
      </c>
      <c r="AE29" s="5"/>
      <c r="AF29" s="5">
        <v>793</v>
      </c>
      <c r="AI29" s="3" t="s">
        <v>81</v>
      </c>
      <c r="AJ29" s="6">
        <v>124878</v>
      </c>
      <c r="AK29" s="6">
        <v>118599</v>
      </c>
      <c r="AL29" s="167">
        <f t="shared" si="11"/>
        <v>0.94971892567145533</v>
      </c>
      <c r="AM29" s="166"/>
      <c r="AN29" s="166"/>
      <c r="AO29" s="168"/>
      <c r="AP29" s="166"/>
      <c r="AQ29" s="5">
        <v>793</v>
      </c>
      <c r="AR29" s="165"/>
    </row>
    <row r="30" spans="2:65" x14ac:dyDescent="0.25">
      <c r="B30" s="132" t="s">
        <v>79</v>
      </c>
      <c r="C30" s="132">
        <v>97</v>
      </c>
      <c r="D30" s="133">
        <f t="shared" si="2"/>
        <v>1.941087008724886E-3</v>
      </c>
      <c r="F30" s="23" t="s">
        <v>20</v>
      </c>
      <c r="G30" s="27">
        <v>0.91857142857142871</v>
      </c>
      <c r="H30" s="27">
        <v>1.2048192771084338</v>
      </c>
      <c r="I30" s="27">
        <f t="shared" si="13"/>
        <v>5.0408228608020494E-2</v>
      </c>
      <c r="V30" s="3" t="s">
        <v>82</v>
      </c>
      <c r="W30" s="4">
        <v>46542</v>
      </c>
      <c r="X30" s="4">
        <v>40836</v>
      </c>
      <c r="Y30" s="130">
        <f t="shared" si="9"/>
        <v>0.87740105710970739</v>
      </c>
      <c r="Z30" s="5" t="s">
        <v>67</v>
      </c>
      <c r="AA30" s="5" t="s">
        <v>67</v>
      </c>
      <c r="AB30" s="130"/>
      <c r="AC30" s="5"/>
      <c r="AD30" s="5">
        <v>190</v>
      </c>
      <c r="AE30" s="5"/>
      <c r="AF30" s="5">
        <v>190</v>
      </c>
      <c r="AI30" s="3" t="s">
        <v>82</v>
      </c>
      <c r="AJ30" s="6">
        <v>46542</v>
      </c>
      <c r="AK30" s="6">
        <v>40836</v>
      </c>
      <c r="AL30" s="167">
        <f t="shared" si="11"/>
        <v>0.87740105710970739</v>
      </c>
      <c r="AM30" s="166"/>
      <c r="AN30" s="166"/>
      <c r="AO30" s="168"/>
      <c r="AP30" s="166"/>
      <c r="AQ30" s="5">
        <v>190</v>
      </c>
      <c r="AR30" s="165"/>
    </row>
    <row r="31" spans="2:65" x14ac:dyDescent="0.25">
      <c r="B31" s="132" t="s">
        <v>172</v>
      </c>
      <c r="C31" s="132">
        <v>520</v>
      </c>
      <c r="D31" s="133">
        <f t="shared" si="2"/>
        <v>1.040582726326743E-2</v>
      </c>
      <c r="F31" s="23" t="s">
        <v>21</v>
      </c>
      <c r="G31" s="27">
        <v>0.85714285714285721</v>
      </c>
      <c r="H31" s="27">
        <v>1.1060240963855423</v>
      </c>
      <c r="I31" s="27">
        <f t="shared" si="13"/>
        <v>2.3533178580004803E-2</v>
      </c>
      <c r="V31" s="3" t="s">
        <v>83</v>
      </c>
      <c r="W31" s="4">
        <v>129691</v>
      </c>
      <c r="X31" s="4">
        <v>159976</v>
      </c>
      <c r="Y31" s="130">
        <f t="shared" si="9"/>
        <v>1.2335165894318032</v>
      </c>
      <c r="Z31" s="5" t="s">
        <v>67</v>
      </c>
      <c r="AA31" s="5" t="s">
        <v>67</v>
      </c>
      <c r="AB31" s="130"/>
      <c r="AC31" s="5"/>
      <c r="AD31" s="5">
        <v>934</v>
      </c>
      <c r="AE31" s="5"/>
      <c r="AF31" s="5">
        <v>934</v>
      </c>
      <c r="AI31" s="3" t="s">
        <v>83</v>
      </c>
      <c r="AJ31" s="6">
        <v>129691</v>
      </c>
      <c r="AK31" s="6">
        <v>159976</v>
      </c>
      <c r="AL31" s="167">
        <f t="shared" si="11"/>
        <v>1.2335165894318032</v>
      </c>
      <c r="AM31" s="166"/>
      <c r="AN31" s="166"/>
      <c r="AO31" s="168"/>
      <c r="AP31" s="166"/>
      <c r="AQ31" s="5">
        <v>934</v>
      </c>
      <c r="AR31" s="165"/>
    </row>
    <row r="32" spans="2:65" x14ac:dyDescent="0.25">
      <c r="B32" s="132" t="s">
        <v>80</v>
      </c>
      <c r="C32" s="132">
        <v>33</v>
      </c>
      <c r="D32" s="133">
        <f t="shared" si="2"/>
        <v>6.6036980709197155E-4</v>
      </c>
      <c r="F32" s="23" t="s">
        <v>22</v>
      </c>
      <c r="G32" s="27">
        <v>1.1285714285714288</v>
      </c>
      <c r="H32" s="27">
        <v>1.0943181818181817</v>
      </c>
      <c r="I32" s="27">
        <f t="shared" si="13"/>
        <v>4.2563835748018891E-2</v>
      </c>
      <c r="V32" s="3" t="s">
        <v>22</v>
      </c>
      <c r="W32" s="4">
        <v>1414939</v>
      </c>
      <c r="X32" s="4">
        <v>1446325</v>
      </c>
      <c r="Y32" s="130">
        <f t="shared" si="9"/>
        <v>1.022181874978356</v>
      </c>
      <c r="Z32" s="5">
        <v>1.48</v>
      </c>
      <c r="AA32" s="5">
        <v>1.44</v>
      </c>
      <c r="AB32" s="130">
        <f t="shared" si="10"/>
        <v>0.97297297297297292</v>
      </c>
      <c r="AC32" s="4">
        <v>11394</v>
      </c>
      <c r="AD32" s="4">
        <v>7700</v>
      </c>
      <c r="AE32" s="4">
        <v>11051</v>
      </c>
      <c r="AF32" s="4">
        <v>7700</v>
      </c>
      <c r="AI32" s="3" t="s">
        <v>22</v>
      </c>
      <c r="AJ32" s="6">
        <v>1414939</v>
      </c>
      <c r="AK32" s="6">
        <v>1446325</v>
      </c>
      <c r="AL32" s="167">
        <f t="shared" si="11"/>
        <v>1.022181874978356</v>
      </c>
      <c r="AM32" s="166">
        <v>1.46</v>
      </c>
      <c r="AN32" s="166">
        <v>1.44</v>
      </c>
      <c r="AO32" s="168">
        <f t="shared" si="12"/>
        <v>0.98630136986301364</v>
      </c>
      <c r="AP32" s="6">
        <v>11272</v>
      </c>
      <c r="AQ32" s="4">
        <v>7700</v>
      </c>
      <c r="AR32" s="164"/>
    </row>
    <row r="33" spans="2:44" x14ac:dyDescent="0.25">
      <c r="B33" s="142" t="s">
        <v>76</v>
      </c>
      <c r="C33" s="142">
        <v>981</v>
      </c>
      <c r="D33" s="143">
        <f t="shared" si="2"/>
        <v>1.9630993356279516E-2</v>
      </c>
      <c r="F33" s="23" t="s">
        <v>23</v>
      </c>
      <c r="G33" s="27">
        <v>1.0093333333333334</v>
      </c>
      <c r="H33" s="27">
        <v>1.03855421686747</v>
      </c>
      <c r="I33" s="27">
        <f t="shared" si="13"/>
        <v>4.8407107980469065E-2</v>
      </c>
      <c r="V33" s="3" t="s">
        <v>84</v>
      </c>
      <c r="W33" s="4">
        <v>211350</v>
      </c>
      <c r="X33" s="4">
        <v>183394</v>
      </c>
      <c r="Y33" s="130">
        <f t="shared" si="9"/>
        <v>0.86772651999053707</v>
      </c>
      <c r="Z33" s="5">
        <v>0.51</v>
      </c>
      <c r="AA33" s="5" t="s">
        <v>67</v>
      </c>
      <c r="AB33" s="130" t="e">
        <f t="shared" si="10"/>
        <v>#VALUE!</v>
      </c>
      <c r="AC33" s="5">
        <v>653</v>
      </c>
      <c r="AD33" s="4">
        <v>1286</v>
      </c>
      <c r="AE33" s="5"/>
      <c r="AF33" s="4">
        <v>1286</v>
      </c>
      <c r="AI33" s="3" t="s">
        <v>84</v>
      </c>
      <c r="AJ33" s="6">
        <v>211350</v>
      </c>
      <c r="AK33" s="6">
        <v>183394</v>
      </c>
      <c r="AL33" s="167">
        <f t="shared" si="11"/>
        <v>0.86772651999053707</v>
      </c>
      <c r="AM33" s="166">
        <v>0.31</v>
      </c>
      <c r="AN33" s="166"/>
      <c r="AO33" s="168">
        <f t="shared" si="12"/>
        <v>0</v>
      </c>
      <c r="AP33" s="166">
        <v>393</v>
      </c>
      <c r="AQ33" s="4">
        <v>1286</v>
      </c>
      <c r="AR33" s="165"/>
    </row>
    <row r="34" spans="2:44" x14ac:dyDescent="0.25">
      <c r="B34" s="132" t="s">
        <v>18</v>
      </c>
      <c r="C34" s="132">
        <v>1858</v>
      </c>
      <c r="D34" s="133">
        <f t="shared" si="2"/>
        <v>3.7180821259905544E-2</v>
      </c>
      <c r="F34" s="23" t="s">
        <v>25</v>
      </c>
      <c r="G34" s="27">
        <v>1.0833333333333335</v>
      </c>
      <c r="H34" s="27">
        <v>1.04</v>
      </c>
      <c r="I34" s="27">
        <f t="shared" si="13"/>
        <v>4.928760105659169E-2</v>
      </c>
      <c r="V34" s="3" t="s">
        <v>14</v>
      </c>
      <c r="W34" s="4">
        <v>1254157</v>
      </c>
      <c r="X34" s="4">
        <v>975247</v>
      </c>
      <c r="Y34" s="130">
        <f t="shared" si="9"/>
        <v>0.77761157494635835</v>
      </c>
      <c r="Z34" s="5">
        <v>0.86</v>
      </c>
      <c r="AA34" s="5">
        <v>0.86</v>
      </c>
      <c r="AB34" s="130">
        <f t="shared" si="10"/>
        <v>1</v>
      </c>
      <c r="AC34" s="4">
        <v>29581</v>
      </c>
      <c r="AD34" s="4">
        <v>34573</v>
      </c>
      <c r="AE34" s="4">
        <v>29589</v>
      </c>
      <c r="AF34" s="4">
        <v>34573</v>
      </c>
      <c r="AI34" s="3" t="s">
        <v>14</v>
      </c>
      <c r="AJ34" s="6">
        <v>1254157</v>
      </c>
      <c r="AK34" s="6">
        <v>975247</v>
      </c>
      <c r="AL34" s="167">
        <f t="shared" si="11"/>
        <v>0.77761157494635835</v>
      </c>
      <c r="AM34" s="166">
        <v>0.86</v>
      </c>
      <c r="AN34" s="166">
        <v>0.86</v>
      </c>
      <c r="AO34" s="168">
        <f t="shared" si="12"/>
        <v>1</v>
      </c>
      <c r="AP34" s="6">
        <v>29699</v>
      </c>
      <c r="AQ34" s="4">
        <v>34573</v>
      </c>
      <c r="AR34" s="164"/>
    </row>
    <row r="35" spans="2:44" x14ac:dyDescent="0.25">
      <c r="B35" s="11" t="s">
        <v>173</v>
      </c>
      <c r="C35" s="129">
        <f>SUM(C3:C34)</f>
        <v>49972</v>
      </c>
      <c r="D35" s="83">
        <f t="shared" si="2"/>
        <v>1</v>
      </c>
      <c r="F35" s="23" t="s">
        <v>26</v>
      </c>
      <c r="G35" s="27">
        <v>1.0505882352941176</v>
      </c>
      <c r="H35" s="27">
        <v>1.0620689655172415</v>
      </c>
      <c r="I35" s="27">
        <f t="shared" si="13"/>
        <v>2.1512046746177859E-2</v>
      </c>
      <c r="V35" s="3" t="s">
        <v>15</v>
      </c>
      <c r="W35" s="4">
        <v>2709419</v>
      </c>
      <c r="X35" s="4">
        <v>3008469</v>
      </c>
      <c r="Y35" s="130">
        <f t="shared" si="9"/>
        <v>1.1103742167601245</v>
      </c>
      <c r="Z35" s="5">
        <v>1.32</v>
      </c>
      <c r="AA35" s="5">
        <v>1.33</v>
      </c>
      <c r="AB35" s="130">
        <f t="shared" si="10"/>
        <v>1.0075757575757576</v>
      </c>
      <c r="AC35" s="4">
        <v>23420</v>
      </c>
      <c r="AD35" s="4">
        <v>17801</v>
      </c>
      <c r="AE35" s="4">
        <v>23738</v>
      </c>
      <c r="AF35" s="4">
        <v>17801</v>
      </c>
      <c r="AI35" s="3" t="s">
        <v>15</v>
      </c>
      <c r="AJ35" s="6">
        <v>2709419</v>
      </c>
      <c r="AK35" s="6">
        <v>3008469</v>
      </c>
      <c r="AL35" s="167">
        <f t="shared" si="11"/>
        <v>1.1103742167601245</v>
      </c>
      <c r="AM35" s="166">
        <v>1.33</v>
      </c>
      <c r="AN35" s="166">
        <v>1.33</v>
      </c>
      <c r="AO35" s="168">
        <f t="shared" si="12"/>
        <v>1</v>
      </c>
      <c r="AP35" s="6">
        <v>23717</v>
      </c>
      <c r="AQ35" s="4">
        <v>17801</v>
      </c>
      <c r="AR35" s="164"/>
    </row>
    <row r="36" spans="2:44" x14ac:dyDescent="0.25">
      <c r="B36" s="11" t="s">
        <v>78</v>
      </c>
      <c r="C36" s="129">
        <f>C30+C32+C6+C23</f>
        <v>632</v>
      </c>
      <c r="D36" s="83">
        <f t="shared" si="2"/>
        <v>1.264708236612503E-2</v>
      </c>
      <c r="F36" s="23" t="s">
        <v>27</v>
      </c>
      <c r="G36" s="27">
        <v>0.75571428571428578</v>
      </c>
      <c r="H36" s="27">
        <v>1.053409090909091</v>
      </c>
      <c r="I36" s="27">
        <f>D37</f>
        <v>2.9836708556791804E-2</v>
      </c>
      <c r="V36" s="3" t="s">
        <v>33</v>
      </c>
      <c r="W36" s="4">
        <f>W11+W13+W14+W15+W16+W17+W19+W20+W23</f>
        <v>101858</v>
      </c>
      <c r="X36" s="4">
        <f>X11+X13+X14+X15+X16+X17+X19+X20+X23</f>
        <v>126970</v>
      </c>
      <c r="Y36" s="130">
        <f t="shared" si="9"/>
        <v>1.2465392998095388</v>
      </c>
      <c r="Z36" s="144">
        <f>AC36/AD36</f>
        <v>0.99291263459179502</v>
      </c>
      <c r="AA36" s="144">
        <f>AE36/AF36</f>
        <v>0.96688019626550359</v>
      </c>
      <c r="AB36" s="130">
        <f t="shared" si="10"/>
        <v>0.97378174330816747</v>
      </c>
      <c r="AC36" s="4">
        <f>AC11+AC13+AC14+AC15+AC16+AC17+AC19+AC20+AC23</f>
        <v>7285</v>
      </c>
      <c r="AD36" s="4">
        <f>AD11+AD13+AD14+AD15+AD16+AD17+AD19+AD20+AD23</f>
        <v>7337</v>
      </c>
      <c r="AE36" s="4">
        <f t="shared" ref="AE36:AF36" si="14">AE11+AE13+AE14+AE15+AE16+AE17+AE19+AE20+AE23</f>
        <v>7094</v>
      </c>
      <c r="AF36" s="4">
        <f t="shared" si="14"/>
        <v>7337</v>
      </c>
      <c r="AI36" s="3" t="s">
        <v>33</v>
      </c>
      <c r="AJ36" s="4">
        <f>AJ11+AJ13+AJ14+AJ15+AJ16+AJ17+AJ19+AJ20+AJ23</f>
        <v>101858</v>
      </c>
      <c r="AK36" s="4">
        <f>AK11+AK13+AK14+AK15+AK16+AK17+AK19+AK20+AK23</f>
        <v>126970</v>
      </c>
      <c r="AL36" s="167">
        <f t="shared" si="11"/>
        <v>1.2465392998095388</v>
      </c>
      <c r="AM36" s="169">
        <f>AP36/AQ36</f>
        <v>0.97764753986643038</v>
      </c>
      <c r="AN36" s="144">
        <v>0.96688019626550359</v>
      </c>
      <c r="AO36" s="168">
        <f t="shared" si="12"/>
        <v>0.98898647706677822</v>
      </c>
      <c r="AP36" s="4">
        <f>AP11+AP13+AP14+AP15+AP16+AP17+AP19+AP20+AP23</f>
        <v>7173</v>
      </c>
      <c r="AQ36" s="4">
        <f>AQ11+AQ13+AQ14+AQ15+AQ16+AQ17+AQ19+AQ20+AQ23</f>
        <v>7337</v>
      </c>
    </row>
    <row r="37" spans="2:44" x14ac:dyDescent="0.25">
      <c r="B37" s="11" t="s">
        <v>33</v>
      </c>
      <c r="C37" s="129">
        <f>C3+C5+C7+C8+C14+C18+C19+C28+C29+C33</f>
        <v>1491</v>
      </c>
      <c r="D37" s="83">
        <f t="shared" si="2"/>
        <v>2.9836708556791804E-2</v>
      </c>
      <c r="V37" s="3" t="s">
        <v>85</v>
      </c>
      <c r="W37" s="4">
        <f>W22+W21+W18+W12</f>
        <v>30000</v>
      </c>
      <c r="X37" s="4">
        <f>X22+X21+X18+X12</f>
        <v>32719</v>
      </c>
      <c r="Y37" s="130">
        <f t="shared" si="9"/>
        <v>1.0906333333333333</v>
      </c>
      <c r="Z37" s="144">
        <f>AC37/AD37</f>
        <v>2.10986328125</v>
      </c>
      <c r="AA37" s="144">
        <f>AE37/AF37</f>
        <v>2.11962890625</v>
      </c>
      <c r="AB37" s="130">
        <f t="shared" si="10"/>
        <v>1.0046285582041194</v>
      </c>
      <c r="AC37" s="4">
        <f>AC22+AC21+AC18+AC12</f>
        <v>4321</v>
      </c>
      <c r="AD37" s="4">
        <f>AD22+AD21+AD18+AD12</f>
        <v>2048</v>
      </c>
      <c r="AE37" s="4">
        <f t="shared" ref="AE37:AF37" si="15">AE22+AE21+AE18+AE12</f>
        <v>4341</v>
      </c>
      <c r="AF37" s="4">
        <f t="shared" si="15"/>
        <v>2048</v>
      </c>
      <c r="AI37" s="3" t="s">
        <v>85</v>
      </c>
      <c r="AJ37" s="4">
        <f>AJ22+AJ21+AJ18+AJ12</f>
        <v>30000</v>
      </c>
      <c r="AK37" s="4">
        <f>AK22+AK21+AK18+AK12</f>
        <v>32719</v>
      </c>
      <c r="AL37" s="167">
        <f t="shared" si="11"/>
        <v>1.0906333333333333</v>
      </c>
      <c r="AM37" s="169">
        <f>AP37/AQ37</f>
        <v>2.162109375</v>
      </c>
      <c r="AN37" s="144">
        <v>2.11962890625</v>
      </c>
      <c r="AO37" s="168">
        <f t="shared" si="12"/>
        <v>0.98035230352303526</v>
      </c>
      <c r="AP37" s="4">
        <f>AP22+AP21+AP18+AP12</f>
        <v>4428</v>
      </c>
      <c r="AQ37" s="4">
        <f>AQ22+AQ21+AQ18+AQ12</f>
        <v>2048</v>
      </c>
    </row>
    <row r="38" spans="2:44" x14ac:dyDescent="0.25">
      <c r="B38" s="11" t="s">
        <v>174</v>
      </c>
    </row>
    <row r="39" spans="2:44" x14ac:dyDescent="0.25">
      <c r="O39" s="11" t="s">
        <v>175</v>
      </c>
      <c r="T39" s="11" t="s">
        <v>176</v>
      </c>
      <c r="Y39" s="11" t="s">
        <v>177</v>
      </c>
    </row>
    <row r="40" spans="2:44" x14ac:dyDescent="0.25">
      <c r="F40" s="11">
        <v>1</v>
      </c>
      <c r="G40" s="11">
        <v>2</v>
      </c>
      <c r="I40" s="11" t="s">
        <v>228</v>
      </c>
      <c r="J40" s="11">
        <v>1</v>
      </c>
      <c r="K40" s="11">
        <v>2</v>
      </c>
      <c r="L40" s="11">
        <v>3</v>
      </c>
      <c r="M40" s="11">
        <v>4</v>
      </c>
      <c r="AI40" s="20" t="s">
        <v>34</v>
      </c>
      <c r="AJ40" s="20" t="s">
        <v>10</v>
      </c>
      <c r="AK40" s="20" t="s">
        <v>11</v>
      </c>
      <c r="AL40" s="20" t="s">
        <v>142</v>
      </c>
    </row>
    <row r="41" spans="2:44" x14ac:dyDescent="0.25">
      <c r="F41" s="145" t="s">
        <v>34</v>
      </c>
      <c r="G41" s="145" t="s">
        <v>178</v>
      </c>
      <c r="J41" s="153" t="s">
        <v>155</v>
      </c>
      <c r="K41" s="153" t="s">
        <v>179</v>
      </c>
      <c r="L41" s="153" t="s">
        <v>163</v>
      </c>
      <c r="M41" s="153" t="s">
        <v>157</v>
      </c>
      <c r="O41" s="20" t="s">
        <v>34</v>
      </c>
      <c r="P41" s="162" t="s">
        <v>50</v>
      </c>
      <c r="Q41" s="162" t="s">
        <v>51</v>
      </c>
      <c r="R41" s="20" t="s">
        <v>142</v>
      </c>
      <c r="T41" s="20" t="s">
        <v>34</v>
      </c>
      <c r="U41" s="162" t="s">
        <v>50</v>
      </c>
      <c r="V41" s="162" t="s">
        <v>51</v>
      </c>
      <c r="W41" s="20" t="s">
        <v>142</v>
      </c>
      <c r="Y41" s="20" t="s">
        <v>34</v>
      </c>
      <c r="Z41" s="162" t="s">
        <v>180</v>
      </c>
      <c r="AA41" s="162" t="s">
        <v>181</v>
      </c>
      <c r="AB41" s="20" t="s">
        <v>142</v>
      </c>
      <c r="AI41" s="14" t="s">
        <v>13</v>
      </c>
      <c r="AJ41" s="27">
        <f>VLOOKUP(AI41,$AI$4:$AQ$37,$AL$3,FALSE)</f>
        <v>0.99481188314703628</v>
      </c>
      <c r="AK41" s="27">
        <f>VLOOKUP(AI41,$AI$4:$AQ$37,$AO$3,FALSE)</f>
        <v>1.0196078431372548</v>
      </c>
      <c r="AL41" s="27">
        <f>VLOOKUP(AI41,$B$2:$D$38,$D$1,FALSE)</f>
        <v>0.27055150884495316</v>
      </c>
    </row>
    <row r="42" spans="2:44" x14ac:dyDescent="0.25">
      <c r="F42" s="26" t="s">
        <v>26</v>
      </c>
      <c r="G42" s="31">
        <v>0.75</v>
      </c>
      <c r="J42" s="151" t="s">
        <v>95</v>
      </c>
      <c r="K42" s="152">
        <v>1</v>
      </c>
      <c r="L42" s="23">
        <v>0</v>
      </c>
      <c r="M42" s="27">
        <f>L42/K42</f>
        <v>0</v>
      </c>
      <c r="O42" s="23" t="s">
        <v>13</v>
      </c>
      <c r="P42" s="99">
        <v>1.0394194940184349</v>
      </c>
      <c r="Q42" s="99">
        <v>0.92717180215795669</v>
      </c>
      <c r="R42" s="27">
        <f>VLOOKUP(O42,$B$2:$D$38,$D$1,FALSE)</f>
        <v>0.27055150884495316</v>
      </c>
      <c r="T42" s="23" t="s">
        <v>13</v>
      </c>
      <c r="U42" s="99">
        <v>1.1650912288415036</v>
      </c>
      <c r="V42" s="99">
        <v>0.91168240046659321</v>
      </c>
      <c r="W42" s="27">
        <f>VLOOKUP(T42,$B$2:$D$38,$D$1,FALSE)</f>
        <v>0.27055150884495316</v>
      </c>
      <c r="Y42" s="23" t="s">
        <v>13</v>
      </c>
      <c r="Z42" s="99">
        <v>1.1650912288415036</v>
      </c>
      <c r="AA42" s="99">
        <v>1.0394194940184349</v>
      </c>
      <c r="AB42" s="27">
        <f>VLOOKUP(Y42,$B$2:$D$38,$D$1,FALSE)</f>
        <v>0.27055150884495316</v>
      </c>
      <c r="AI42" s="14" t="s">
        <v>14</v>
      </c>
      <c r="AJ42" s="27">
        <f t="shared" ref="AJ42:AJ55" si="16">VLOOKUP(AI42,$AI$4:$AQ$37,$AL$3,FALSE)</f>
        <v>0.77761157494635835</v>
      </c>
      <c r="AK42" s="27">
        <f t="shared" ref="AK42:AK55" si="17">VLOOKUP(AI42,$AI$4:$AQ$37,$AO$3,FALSE)</f>
        <v>1</v>
      </c>
      <c r="AL42" s="27">
        <f t="shared" ref="AL42:AL55" si="18">VLOOKUP(AI42,$B$2:$D$38,$D$1,FALSE)</f>
        <v>0.129572560633955</v>
      </c>
    </row>
    <row r="43" spans="2:44" x14ac:dyDescent="0.25">
      <c r="F43" s="26" t="s">
        <v>18</v>
      </c>
      <c r="G43" s="31">
        <v>1</v>
      </c>
      <c r="J43" s="147" t="s">
        <v>81</v>
      </c>
      <c r="K43" s="149">
        <v>79</v>
      </c>
      <c r="L43" s="23">
        <v>112</v>
      </c>
      <c r="M43" s="27">
        <f t="shared" ref="M43:M75" si="19">L43/K43</f>
        <v>1.4177215189873418</v>
      </c>
      <c r="O43" s="23" t="s">
        <v>15</v>
      </c>
      <c r="P43" s="99">
        <v>1.1069615663524293</v>
      </c>
      <c r="Q43" s="99">
        <v>1.0296163031043091</v>
      </c>
      <c r="R43" s="27">
        <f t="shared" ref="R43:R56" si="20">VLOOKUP(O43,$B$2:$D$38,$D$1,FALSE)</f>
        <v>0.13185383814936363</v>
      </c>
      <c r="T43" s="23" t="s">
        <v>15</v>
      </c>
      <c r="U43" s="99">
        <v>0.99123376623376624</v>
      </c>
      <c r="V43" s="99">
        <v>1.1471654253933306</v>
      </c>
      <c r="W43" s="27">
        <f t="shared" ref="W43:W56" si="21">VLOOKUP(T43,$B$2:$D$38,$D$1,FALSE)</f>
        <v>0.13185383814936363</v>
      </c>
      <c r="Y43" s="23" t="s">
        <v>15</v>
      </c>
      <c r="Z43" s="99">
        <v>0.99123376623376624</v>
      </c>
      <c r="AA43" s="99">
        <v>1.1069615663524293</v>
      </c>
      <c r="AB43" s="27">
        <f t="shared" ref="AB43:AB56" si="22">VLOOKUP(Y43,$B$2:$D$38,$D$1,FALSE)</f>
        <v>0.13185383814936363</v>
      </c>
      <c r="AI43" s="14" t="s">
        <v>15</v>
      </c>
      <c r="AJ43" s="27">
        <f t="shared" si="16"/>
        <v>1.1103742167601245</v>
      </c>
      <c r="AK43" s="27">
        <f t="shared" si="17"/>
        <v>1</v>
      </c>
      <c r="AL43" s="27">
        <f t="shared" si="18"/>
        <v>0.13185383814936363</v>
      </c>
    </row>
    <row r="44" spans="2:44" x14ac:dyDescent="0.25">
      <c r="F44" s="26" t="s">
        <v>25</v>
      </c>
      <c r="G44" s="31">
        <v>0.5</v>
      </c>
      <c r="J44" s="147" t="s">
        <v>66</v>
      </c>
      <c r="K44" s="149">
        <v>40</v>
      </c>
      <c r="L44" s="23">
        <v>27</v>
      </c>
      <c r="M44" s="27">
        <f t="shared" si="19"/>
        <v>0.67500000000000004</v>
      </c>
      <c r="O44" s="23" t="s">
        <v>14</v>
      </c>
      <c r="P44" s="99">
        <v>0.88987457938207404</v>
      </c>
      <c r="Q44" s="99">
        <v>0.88742476703263617</v>
      </c>
      <c r="R44" s="27">
        <f t="shared" si="20"/>
        <v>0.129572560633955</v>
      </c>
      <c r="T44" s="23" t="s">
        <v>14</v>
      </c>
      <c r="U44" s="99">
        <v>0.7385123127697385</v>
      </c>
      <c r="V44" s="99">
        <v>0.85738390522967822</v>
      </c>
      <c r="W44" s="27">
        <f t="shared" si="21"/>
        <v>0.129572560633955</v>
      </c>
      <c r="Y44" s="23" t="s">
        <v>14</v>
      </c>
      <c r="Z44" s="99">
        <v>0.7385123127697385</v>
      </c>
      <c r="AA44" s="99">
        <v>0.88987457938207404</v>
      </c>
      <c r="AB44" s="27">
        <f t="shared" si="22"/>
        <v>0.129572560633955</v>
      </c>
      <c r="AI44" s="14" t="s">
        <v>16</v>
      </c>
      <c r="AJ44" s="27">
        <f t="shared" si="16"/>
        <v>0.95386019719822812</v>
      </c>
      <c r="AK44" s="27">
        <f t="shared" si="17"/>
        <v>0.99047619047619051</v>
      </c>
      <c r="AL44" s="27">
        <f t="shared" si="18"/>
        <v>3.7220843672456573E-2</v>
      </c>
    </row>
    <row r="45" spans="2:44" x14ac:dyDescent="0.25">
      <c r="F45" s="26" t="s">
        <v>16</v>
      </c>
      <c r="G45" s="31">
        <v>1</v>
      </c>
      <c r="J45" s="147" t="s">
        <v>68</v>
      </c>
      <c r="K45" s="149">
        <v>89</v>
      </c>
      <c r="L45" s="23">
        <v>55</v>
      </c>
      <c r="M45" s="27">
        <f t="shared" si="19"/>
        <v>0.6179775280898876</v>
      </c>
      <c r="O45" s="23" t="s">
        <v>20</v>
      </c>
      <c r="P45" s="99">
        <v>1.1271676300578035</v>
      </c>
      <c r="Q45" s="99">
        <v>1.0652319981645233</v>
      </c>
      <c r="R45" s="27">
        <f t="shared" si="20"/>
        <v>5.0408228608020494E-2</v>
      </c>
      <c r="T45" s="23" t="s">
        <v>20</v>
      </c>
      <c r="U45" s="99">
        <v>0.78883495145631066</v>
      </c>
      <c r="V45" s="99">
        <v>1.0427275563262774</v>
      </c>
      <c r="W45" s="27">
        <f t="shared" si="21"/>
        <v>5.0408228608020494E-2</v>
      </c>
      <c r="Y45" s="23" t="s">
        <v>20</v>
      </c>
      <c r="Z45" s="99">
        <v>0.78883495145631066</v>
      </c>
      <c r="AA45" s="99">
        <v>1.1271676300578035</v>
      </c>
      <c r="AB45" s="27">
        <f t="shared" si="22"/>
        <v>5.0408228608020494E-2</v>
      </c>
      <c r="AI45" s="14" t="s">
        <v>17</v>
      </c>
      <c r="AJ45" s="27">
        <f t="shared" si="16"/>
        <v>0.8856981632445291</v>
      </c>
      <c r="AK45" s="27">
        <f t="shared" si="17"/>
        <v>1</v>
      </c>
      <c r="AL45" s="27">
        <f t="shared" si="18"/>
        <v>4.7706715760826066E-2</v>
      </c>
    </row>
    <row r="46" spans="2:44" x14ac:dyDescent="0.25">
      <c r="F46" s="26" t="s">
        <v>13</v>
      </c>
      <c r="G46" s="31">
        <v>1</v>
      </c>
      <c r="J46" s="147" t="s">
        <v>69</v>
      </c>
      <c r="K46" s="149">
        <v>6</v>
      </c>
      <c r="L46" s="23">
        <v>6</v>
      </c>
      <c r="M46" s="27">
        <f t="shared" si="19"/>
        <v>1</v>
      </c>
      <c r="O46" s="23" t="s">
        <v>19</v>
      </c>
      <c r="P46" s="99">
        <v>1.0561097256857854</v>
      </c>
      <c r="Q46" s="99">
        <v>0.91232727841347017</v>
      </c>
      <c r="R46" s="27">
        <f t="shared" si="20"/>
        <v>4.4685023613223407E-2</v>
      </c>
      <c r="T46" s="23" t="s">
        <v>19</v>
      </c>
      <c r="U46" s="99">
        <v>0.92669584245076586</v>
      </c>
      <c r="V46" s="99">
        <v>0.89903690121778057</v>
      </c>
      <c r="W46" s="27">
        <f t="shared" si="21"/>
        <v>4.4685023613223407E-2</v>
      </c>
      <c r="Y46" s="23" t="s">
        <v>19</v>
      </c>
      <c r="Z46" s="99">
        <v>0.92669584245076586</v>
      </c>
      <c r="AA46" s="99">
        <v>1.0561097256857854</v>
      </c>
      <c r="AB46" s="27">
        <f t="shared" si="22"/>
        <v>4.4685023613223407E-2</v>
      </c>
      <c r="AI46" s="14" t="s">
        <v>18</v>
      </c>
      <c r="AJ46" s="27">
        <f t="shared" si="16"/>
        <v>1.0026368131728454</v>
      </c>
      <c r="AK46" s="27">
        <f t="shared" si="17"/>
        <v>1</v>
      </c>
      <c r="AL46" s="27">
        <f t="shared" si="18"/>
        <v>3.7180821259905544E-2</v>
      </c>
    </row>
    <row r="47" spans="2:44" x14ac:dyDescent="0.25">
      <c r="F47" s="26" t="s">
        <v>15</v>
      </c>
      <c r="G47" s="31">
        <v>0.75</v>
      </c>
      <c r="J47" s="147" t="s">
        <v>70</v>
      </c>
      <c r="K47" s="149">
        <v>42</v>
      </c>
      <c r="L47" s="23">
        <v>44</v>
      </c>
      <c r="M47" s="27">
        <f t="shared" si="19"/>
        <v>1.0476190476190477</v>
      </c>
      <c r="O47" s="23" t="s">
        <v>23</v>
      </c>
      <c r="P47" s="99">
        <v>0.91713961407491484</v>
      </c>
      <c r="Q47" s="99">
        <v>0.80645300330517788</v>
      </c>
      <c r="R47" s="27">
        <f t="shared" si="20"/>
        <v>4.8407107980469065E-2</v>
      </c>
      <c r="T47" s="23" t="s">
        <v>23</v>
      </c>
      <c r="U47" s="99">
        <v>1.1023192360163712</v>
      </c>
      <c r="V47" s="99">
        <v>1.0863525293373129</v>
      </c>
      <c r="W47" s="27">
        <f t="shared" si="21"/>
        <v>4.8407107980469065E-2</v>
      </c>
      <c r="Y47" s="23" t="s">
        <v>23</v>
      </c>
      <c r="Z47" s="99">
        <v>1.1023192360163712</v>
      </c>
      <c r="AA47" s="99">
        <v>0.91713961407491484</v>
      </c>
      <c r="AB47" s="27">
        <f t="shared" si="22"/>
        <v>4.8407107980469065E-2</v>
      </c>
      <c r="AI47" s="14" t="s">
        <v>19</v>
      </c>
      <c r="AJ47" s="27">
        <f t="shared" si="16"/>
        <v>1.065206374892208</v>
      </c>
      <c r="AK47" s="27">
        <f t="shared" si="17"/>
        <v>0.96875000000000011</v>
      </c>
      <c r="AL47" s="27">
        <f t="shared" si="18"/>
        <v>4.4685023613223407E-2</v>
      </c>
    </row>
    <row r="48" spans="2:44" x14ac:dyDescent="0.25">
      <c r="F48" s="26" t="s">
        <v>22</v>
      </c>
      <c r="G48" s="31">
        <v>1</v>
      </c>
      <c r="J48" s="147" t="s">
        <v>82</v>
      </c>
      <c r="K48" s="149">
        <v>19</v>
      </c>
      <c r="L48" s="23">
        <v>21</v>
      </c>
      <c r="M48" s="27">
        <f t="shared" si="19"/>
        <v>1.1052631578947369</v>
      </c>
      <c r="O48" s="23" t="s">
        <v>17</v>
      </c>
      <c r="P48" s="99">
        <v>0.82236842105263153</v>
      </c>
      <c r="Q48" s="99">
        <v>0.73191560065663241</v>
      </c>
      <c r="R48" s="27">
        <f t="shared" si="20"/>
        <v>4.7706715760826066E-2</v>
      </c>
      <c r="T48" s="23" t="s">
        <v>17</v>
      </c>
      <c r="U48" s="99">
        <v>0.73385518590998045</v>
      </c>
      <c r="V48" s="99">
        <v>0.70559598170488858</v>
      </c>
      <c r="W48" s="27">
        <f t="shared" si="21"/>
        <v>4.7706715760826066E-2</v>
      </c>
      <c r="Y48" s="23" t="s">
        <v>17</v>
      </c>
      <c r="Z48" s="99">
        <v>0.73385518590998045</v>
      </c>
      <c r="AA48" s="99">
        <v>0.82236842105263153</v>
      </c>
      <c r="AB48" s="27">
        <f t="shared" si="22"/>
        <v>4.7706715760826066E-2</v>
      </c>
      <c r="AI48" s="14" t="s">
        <v>20</v>
      </c>
      <c r="AJ48" s="27">
        <f t="shared" si="16"/>
        <v>1.1036330150792624</v>
      </c>
      <c r="AK48" s="27">
        <f t="shared" si="17"/>
        <v>1.0344827586206897</v>
      </c>
      <c r="AL48" s="27">
        <f t="shared" si="18"/>
        <v>5.0408228608020494E-2</v>
      </c>
    </row>
    <row r="49" spans="6:38" x14ac:dyDescent="0.25">
      <c r="F49" s="26" t="s">
        <v>17</v>
      </c>
      <c r="G49" s="31">
        <v>1</v>
      </c>
      <c r="J49" s="147" t="s">
        <v>26</v>
      </c>
      <c r="K49" s="149">
        <v>472</v>
      </c>
      <c r="L49" s="23">
        <v>439</v>
      </c>
      <c r="M49" s="27">
        <f t="shared" si="19"/>
        <v>0.93008474576271183</v>
      </c>
      <c r="O49" s="23" t="s">
        <v>22</v>
      </c>
      <c r="P49" s="99">
        <v>0.94986807387862793</v>
      </c>
      <c r="Q49" s="99">
        <v>0.89117947193620861</v>
      </c>
      <c r="R49" s="27">
        <f t="shared" si="20"/>
        <v>4.2563835748018891E-2</v>
      </c>
      <c r="T49" s="23" t="s">
        <v>22</v>
      </c>
      <c r="U49" s="99">
        <v>0.903387703889586</v>
      </c>
      <c r="V49" s="99">
        <v>0.96057701044947474</v>
      </c>
      <c r="W49" s="27">
        <f t="shared" si="21"/>
        <v>4.2563835748018891E-2</v>
      </c>
      <c r="Y49" s="23" t="s">
        <v>22</v>
      </c>
      <c r="Z49" s="99">
        <v>0.903387703889586</v>
      </c>
      <c r="AA49" s="99">
        <v>0.94986807387862793</v>
      </c>
      <c r="AB49" s="27">
        <f t="shared" si="22"/>
        <v>4.2563835748018891E-2</v>
      </c>
      <c r="AI49" s="14" t="s">
        <v>21</v>
      </c>
      <c r="AJ49" s="27">
        <f t="shared" si="16"/>
        <v>1.1429706693676998</v>
      </c>
      <c r="AK49" s="27">
        <f t="shared" si="17"/>
        <v>1.0947368421052632</v>
      </c>
      <c r="AL49" s="27">
        <f t="shared" si="18"/>
        <v>2.3533178580004803E-2</v>
      </c>
    </row>
    <row r="50" spans="6:38" x14ac:dyDescent="0.25">
      <c r="F50" s="26" t="s">
        <v>23</v>
      </c>
      <c r="G50" s="31">
        <v>0.75</v>
      </c>
      <c r="J50" s="147" t="s">
        <v>13</v>
      </c>
      <c r="K50" s="149">
        <v>4917</v>
      </c>
      <c r="L50" s="23">
        <v>5300</v>
      </c>
      <c r="M50" s="27">
        <f t="shared" si="19"/>
        <v>1.077893024201749</v>
      </c>
      <c r="O50" s="23" t="s">
        <v>16</v>
      </c>
      <c r="P50" s="99">
        <v>1.1076158940397351</v>
      </c>
      <c r="Q50" s="99">
        <v>0.92899322827143693</v>
      </c>
      <c r="R50" s="27">
        <f t="shared" si="20"/>
        <v>3.7220843672456573E-2</v>
      </c>
      <c r="T50" s="23" t="s">
        <v>16</v>
      </c>
      <c r="U50" s="99">
        <v>0.62935089369708375</v>
      </c>
      <c r="V50" s="99">
        <v>0.53931947996016039</v>
      </c>
      <c r="W50" s="27">
        <f t="shared" si="21"/>
        <v>3.7220843672456573E-2</v>
      </c>
      <c r="Y50" s="23" t="s">
        <v>16</v>
      </c>
      <c r="Z50" s="99">
        <v>0.62935089369708375</v>
      </c>
      <c r="AA50" s="99">
        <v>1.1076158940397351</v>
      </c>
      <c r="AB50" s="27">
        <f t="shared" si="22"/>
        <v>3.7220843672456573E-2</v>
      </c>
      <c r="AI50" s="14" t="s">
        <v>22</v>
      </c>
      <c r="AJ50" s="27">
        <f t="shared" si="16"/>
        <v>1.022181874978356</v>
      </c>
      <c r="AK50" s="27">
        <f t="shared" si="17"/>
        <v>0.98630136986301364</v>
      </c>
      <c r="AL50" s="27">
        <f t="shared" si="18"/>
        <v>4.2563835748018891E-2</v>
      </c>
    </row>
    <row r="51" spans="6:38" x14ac:dyDescent="0.25">
      <c r="F51" s="26" t="s">
        <v>14</v>
      </c>
      <c r="G51" s="31">
        <v>0.75</v>
      </c>
      <c r="J51" s="147" t="s">
        <v>15</v>
      </c>
      <c r="K51" s="149">
        <v>2884</v>
      </c>
      <c r="L51" s="23">
        <v>3053</v>
      </c>
      <c r="M51" s="27">
        <f t="shared" si="19"/>
        <v>1.0585991678224689</v>
      </c>
      <c r="O51" s="23" t="s">
        <v>25</v>
      </c>
      <c r="P51" s="99">
        <v>0.78545887961859351</v>
      </c>
      <c r="Q51" s="99">
        <v>0.74440876608849504</v>
      </c>
      <c r="R51" s="27">
        <f t="shared" si="20"/>
        <v>4.928760105659169E-2</v>
      </c>
      <c r="T51" s="23" t="s">
        <v>25</v>
      </c>
      <c r="U51" s="99">
        <v>0.9140083217753121</v>
      </c>
      <c r="V51" s="99">
        <v>0.83374698624656862</v>
      </c>
      <c r="W51" s="27">
        <f t="shared" si="21"/>
        <v>4.928760105659169E-2</v>
      </c>
      <c r="Y51" s="23" t="s">
        <v>25</v>
      </c>
      <c r="Z51" s="99">
        <v>0.9140083217753121</v>
      </c>
      <c r="AA51" s="99">
        <v>0.78545887961859351</v>
      </c>
      <c r="AB51" s="27">
        <f t="shared" si="22"/>
        <v>4.928760105659169E-2</v>
      </c>
      <c r="AI51" s="14" t="s">
        <v>23</v>
      </c>
      <c r="AJ51" s="27">
        <f t="shared" si="16"/>
        <v>1.2686383581857721</v>
      </c>
      <c r="AK51" s="27">
        <f t="shared" si="17"/>
        <v>0.98561151079136711</v>
      </c>
      <c r="AL51" s="27">
        <f t="shared" si="18"/>
        <v>4.8407107980469065E-2</v>
      </c>
    </row>
    <row r="52" spans="6:38" x14ac:dyDescent="0.25">
      <c r="F52" s="26" t="s">
        <v>19</v>
      </c>
      <c r="G52" s="31">
        <v>0.75</v>
      </c>
      <c r="J52" s="147" t="s">
        <v>83</v>
      </c>
      <c r="K52" s="149">
        <v>112</v>
      </c>
      <c r="L52" s="23">
        <v>106</v>
      </c>
      <c r="M52" s="27">
        <f t="shared" si="19"/>
        <v>0.9464285714285714</v>
      </c>
      <c r="O52" s="23" t="s">
        <v>18</v>
      </c>
      <c r="P52" s="99">
        <v>0.9008746355685131</v>
      </c>
      <c r="Q52" s="99">
        <v>0.8424691026067761</v>
      </c>
      <c r="R52" s="27">
        <f t="shared" si="20"/>
        <v>3.7180821259905544E-2</v>
      </c>
      <c r="T52" s="23" t="s">
        <v>18</v>
      </c>
      <c r="U52" s="99">
        <v>0.60946745562130178</v>
      </c>
      <c r="V52" s="99">
        <v>0.61382421235955575</v>
      </c>
      <c r="W52" s="27">
        <f t="shared" si="21"/>
        <v>3.7180821259905544E-2</v>
      </c>
      <c r="Y52" s="23" t="s">
        <v>18</v>
      </c>
      <c r="Z52" s="99">
        <v>0.60946745562130178</v>
      </c>
      <c r="AA52" s="99">
        <v>0.9008746355685131</v>
      </c>
      <c r="AB52" s="27">
        <f t="shared" si="22"/>
        <v>3.7180821259905544E-2</v>
      </c>
      <c r="AI52" s="14" t="s">
        <v>25</v>
      </c>
      <c r="AJ52" s="27">
        <f t="shared" si="16"/>
        <v>0.84562851764373081</v>
      </c>
      <c r="AK52" s="27">
        <f t="shared" si="17"/>
        <v>1.1304347826086958</v>
      </c>
      <c r="AL52" s="27">
        <f t="shared" si="18"/>
        <v>4.928760105659169E-2</v>
      </c>
    </row>
    <row r="53" spans="6:38" x14ac:dyDescent="0.25">
      <c r="F53" s="26" t="s">
        <v>21</v>
      </c>
      <c r="G53" s="31">
        <v>0.75</v>
      </c>
      <c r="J53" s="147" t="s">
        <v>71</v>
      </c>
      <c r="K53" s="149">
        <v>20</v>
      </c>
      <c r="L53" s="23">
        <v>23</v>
      </c>
      <c r="M53" s="27">
        <f t="shared" si="19"/>
        <v>1.1499999999999999</v>
      </c>
      <c r="O53" s="23" t="s">
        <v>33</v>
      </c>
      <c r="P53" s="99">
        <v>0.94871794871794868</v>
      </c>
      <c r="Q53" s="99">
        <v>0.94568931999099592</v>
      </c>
      <c r="R53" s="27">
        <f t="shared" si="20"/>
        <v>2.9836708556791804E-2</v>
      </c>
      <c r="T53" s="23" t="s">
        <v>33</v>
      </c>
      <c r="U53" s="99">
        <v>0.74371859296482412</v>
      </c>
      <c r="V53" s="99">
        <v>0.78942197018612614</v>
      </c>
      <c r="W53" s="27">
        <f t="shared" si="21"/>
        <v>2.9836708556791804E-2</v>
      </c>
      <c r="Y53" s="23" t="s">
        <v>33</v>
      </c>
      <c r="Z53" s="99">
        <v>0.74371859296482412</v>
      </c>
      <c r="AA53" s="99">
        <v>0.94871794871794868</v>
      </c>
      <c r="AB53" s="27">
        <f t="shared" si="22"/>
        <v>2.9836708556791804E-2</v>
      </c>
      <c r="AI53" s="14" t="s">
        <v>26</v>
      </c>
      <c r="AJ53" s="27">
        <f t="shared" si="16"/>
        <v>0.86835713458001618</v>
      </c>
      <c r="AK53" s="27">
        <f t="shared" si="17"/>
        <v>0.95238095238095244</v>
      </c>
      <c r="AL53" s="27">
        <f t="shared" si="18"/>
        <v>2.1512046746177859E-2</v>
      </c>
    </row>
    <row r="54" spans="6:38" x14ac:dyDescent="0.25">
      <c r="F54" s="26" t="s">
        <v>20</v>
      </c>
      <c r="G54" s="31">
        <v>0.75</v>
      </c>
      <c r="J54" s="147" t="s">
        <v>22</v>
      </c>
      <c r="K54" s="149">
        <v>824</v>
      </c>
      <c r="L54" s="23">
        <v>720</v>
      </c>
      <c r="M54" s="27">
        <f t="shared" si="19"/>
        <v>0.87378640776699024</v>
      </c>
      <c r="O54" s="23" t="s">
        <v>21</v>
      </c>
      <c r="P54" s="99">
        <v>1.1073059360730593</v>
      </c>
      <c r="Q54" s="99">
        <v>0.9652869838464182</v>
      </c>
      <c r="R54" s="27">
        <f t="shared" si="20"/>
        <v>2.3533178580004803E-2</v>
      </c>
      <c r="T54" s="23" t="s">
        <v>21</v>
      </c>
      <c r="U54" s="99">
        <v>1.0319148936170213</v>
      </c>
      <c r="V54" s="99">
        <v>1.1729581331503087</v>
      </c>
      <c r="W54" s="27">
        <f t="shared" si="21"/>
        <v>2.3533178580004803E-2</v>
      </c>
      <c r="Y54" s="23" t="s">
        <v>21</v>
      </c>
      <c r="Z54" s="99">
        <v>1.0319148936170213</v>
      </c>
      <c r="AA54" s="99">
        <v>1.1073059360730593</v>
      </c>
      <c r="AB54" s="27">
        <f t="shared" si="22"/>
        <v>2.3533178580004803E-2</v>
      </c>
      <c r="AI54" s="14" t="s">
        <v>27</v>
      </c>
      <c r="AJ54" s="27">
        <f t="shared" si="16"/>
        <v>1.2465392998095388</v>
      </c>
      <c r="AK54" s="27">
        <f t="shared" si="17"/>
        <v>0.98898647706677822</v>
      </c>
      <c r="AL54" s="27">
        <f t="shared" si="18"/>
        <v>2.9836708556791804E-2</v>
      </c>
    </row>
    <row r="55" spans="6:38" x14ac:dyDescent="0.25">
      <c r="F55" s="26" t="s">
        <v>78</v>
      </c>
      <c r="G55" s="146">
        <v>0.75</v>
      </c>
      <c r="J55" s="147" t="s">
        <v>16</v>
      </c>
      <c r="K55" s="149">
        <v>611</v>
      </c>
      <c r="L55" s="23">
        <v>669</v>
      </c>
      <c r="M55" s="27">
        <f t="shared" si="19"/>
        <v>1.0949263502454991</v>
      </c>
      <c r="O55" s="23" t="s">
        <v>26</v>
      </c>
      <c r="P55" s="99">
        <v>0.92811839323467227</v>
      </c>
      <c r="Q55" s="99">
        <v>0.98063050011446606</v>
      </c>
      <c r="R55" s="27">
        <f t="shared" si="20"/>
        <v>2.1512046746177859E-2</v>
      </c>
      <c r="T55" s="23" t="s">
        <v>26</v>
      </c>
      <c r="U55" s="99">
        <v>0.5613810741687979</v>
      </c>
      <c r="V55" s="99">
        <v>0.73967778523251226</v>
      </c>
      <c r="W55" s="27">
        <f t="shared" si="21"/>
        <v>2.1512046746177859E-2</v>
      </c>
      <c r="Y55" s="23" t="s">
        <v>26</v>
      </c>
      <c r="Z55" s="99">
        <v>0.5613810741687979</v>
      </c>
      <c r="AA55" s="99">
        <v>0.92811839323467227</v>
      </c>
      <c r="AB55" s="27">
        <f t="shared" si="22"/>
        <v>2.1512046746177859E-2</v>
      </c>
      <c r="AI55" s="29" t="s">
        <v>78</v>
      </c>
      <c r="AJ55" s="27">
        <f t="shared" si="16"/>
        <v>1.0906333333333333</v>
      </c>
      <c r="AK55" s="27">
        <f t="shared" si="17"/>
        <v>0.98035230352303526</v>
      </c>
      <c r="AL55" s="27">
        <f t="shared" si="18"/>
        <v>1.264708236612503E-2</v>
      </c>
    </row>
    <row r="56" spans="6:38" x14ac:dyDescent="0.25">
      <c r="F56" s="26" t="s">
        <v>27</v>
      </c>
      <c r="G56" s="31">
        <v>0.75</v>
      </c>
      <c r="J56" s="147" t="s">
        <v>19</v>
      </c>
      <c r="K56" s="149">
        <v>947</v>
      </c>
      <c r="L56" s="23">
        <v>847</v>
      </c>
      <c r="M56" s="27">
        <f t="shared" si="19"/>
        <v>0.89440337909186907</v>
      </c>
      <c r="O56" s="23" t="s">
        <v>85</v>
      </c>
      <c r="P56" s="99">
        <v>0.92490118577075098</v>
      </c>
      <c r="Q56" s="99">
        <v>0.84275779657739835</v>
      </c>
      <c r="R56" s="27">
        <f t="shared" si="20"/>
        <v>1.264708236612503E-2</v>
      </c>
      <c r="T56" s="23" t="s">
        <v>85</v>
      </c>
      <c r="U56" s="99">
        <v>0.85401459854014594</v>
      </c>
      <c r="V56" s="99">
        <v>0.87233447866119562</v>
      </c>
      <c r="W56" s="27">
        <f t="shared" si="21"/>
        <v>1.264708236612503E-2</v>
      </c>
      <c r="Y56" s="23" t="s">
        <v>85</v>
      </c>
      <c r="Z56" s="99">
        <v>0.85401459854014594</v>
      </c>
      <c r="AA56" s="99">
        <v>0.92490118577075098</v>
      </c>
      <c r="AB56" s="27">
        <f t="shared" si="22"/>
        <v>1.264708236612503E-2</v>
      </c>
    </row>
    <row r="57" spans="6:38" x14ac:dyDescent="0.25">
      <c r="J57" s="147" t="s">
        <v>72</v>
      </c>
      <c r="K57" s="149">
        <v>24</v>
      </c>
      <c r="L57" s="23">
        <v>24</v>
      </c>
      <c r="M57" s="27">
        <f t="shared" si="19"/>
        <v>1</v>
      </c>
    </row>
    <row r="58" spans="6:38" x14ac:dyDescent="0.25">
      <c r="J58" s="147" t="s">
        <v>73</v>
      </c>
      <c r="K58" s="149">
        <v>12</v>
      </c>
      <c r="L58" s="23">
        <v>6</v>
      </c>
      <c r="M58" s="27">
        <f t="shared" si="19"/>
        <v>0.5</v>
      </c>
      <c r="P58" s="11">
        <v>98</v>
      </c>
      <c r="W58" s="11">
        <v>29</v>
      </c>
    </row>
    <row r="59" spans="6:38" x14ac:dyDescent="0.25">
      <c r="J59" s="147" t="s">
        <v>23</v>
      </c>
      <c r="K59" s="149">
        <v>903</v>
      </c>
      <c r="L59" s="23">
        <v>808</v>
      </c>
      <c r="M59" s="27">
        <f t="shared" si="19"/>
        <v>0.89479512735326694</v>
      </c>
      <c r="P59" s="11">
        <v>38</v>
      </c>
      <c r="W59" s="11">
        <v>5</v>
      </c>
    </row>
    <row r="60" spans="6:38" x14ac:dyDescent="0.25">
      <c r="J60" s="147" t="s">
        <v>84</v>
      </c>
      <c r="K60" s="149">
        <v>34</v>
      </c>
      <c r="L60" s="23">
        <v>51</v>
      </c>
      <c r="M60" s="27">
        <f t="shared" si="19"/>
        <v>1.5</v>
      </c>
      <c r="P60" s="11">
        <v>18</v>
      </c>
      <c r="W60" s="11">
        <v>26</v>
      </c>
    </row>
    <row r="61" spans="6:38" x14ac:dyDescent="0.25">
      <c r="J61" s="147" t="s">
        <v>20</v>
      </c>
      <c r="K61" s="149">
        <v>1063</v>
      </c>
      <c r="L61" s="23">
        <v>975</v>
      </c>
      <c r="M61" s="27">
        <f t="shared" si="19"/>
        <v>0.91721542803386646</v>
      </c>
      <c r="P61" s="11">
        <f>P58-(P59+P60)</f>
        <v>42</v>
      </c>
      <c r="W61" s="11">
        <f>SUM(W58:W60)</f>
        <v>60</v>
      </c>
    </row>
    <row r="62" spans="6:38" x14ac:dyDescent="0.25">
      <c r="J62" s="147" t="s">
        <v>74</v>
      </c>
      <c r="K62" s="149">
        <v>149</v>
      </c>
      <c r="L62" s="23">
        <v>120</v>
      </c>
      <c r="M62" s="27">
        <f t="shared" si="19"/>
        <v>0.80536912751677847</v>
      </c>
    </row>
    <row r="63" spans="6:38" x14ac:dyDescent="0.25">
      <c r="J63" s="147" t="s">
        <v>21</v>
      </c>
      <c r="K63" s="149">
        <v>525</v>
      </c>
      <c r="L63" s="23">
        <v>485</v>
      </c>
      <c r="M63" s="27">
        <f t="shared" si="19"/>
        <v>0.92380952380952386</v>
      </c>
    </row>
    <row r="64" spans="6:38" x14ac:dyDescent="0.25">
      <c r="J64" s="147" t="s">
        <v>14</v>
      </c>
      <c r="K64" s="149">
        <v>3485</v>
      </c>
      <c r="L64" s="23">
        <v>2909</v>
      </c>
      <c r="M64" s="27">
        <f t="shared" si="19"/>
        <v>0.83472022955523673</v>
      </c>
    </row>
    <row r="65" spans="10:13" x14ac:dyDescent="0.25">
      <c r="J65" s="147" t="s">
        <v>17</v>
      </c>
      <c r="K65" s="149">
        <v>906</v>
      </c>
      <c r="L65" s="23">
        <v>750</v>
      </c>
      <c r="M65" s="27">
        <f t="shared" si="19"/>
        <v>0.82781456953642385</v>
      </c>
    </row>
    <row r="66" spans="10:13" x14ac:dyDescent="0.25">
      <c r="J66" s="147" t="s">
        <v>25</v>
      </c>
      <c r="K66" s="149">
        <v>842</v>
      </c>
      <c r="L66" s="23">
        <v>659</v>
      </c>
      <c r="M66" s="27">
        <f t="shared" si="19"/>
        <v>0.78266033254156775</v>
      </c>
    </row>
    <row r="67" spans="10:13" x14ac:dyDescent="0.25">
      <c r="J67" s="147" t="s">
        <v>75</v>
      </c>
      <c r="K67" s="149">
        <v>21</v>
      </c>
      <c r="L67" s="23">
        <v>16</v>
      </c>
      <c r="M67" s="27">
        <f t="shared" si="19"/>
        <v>0.76190476190476186</v>
      </c>
    </row>
    <row r="68" spans="10:13" x14ac:dyDescent="0.25">
      <c r="J68" s="147" t="s">
        <v>77</v>
      </c>
      <c r="K68" s="149">
        <v>8</v>
      </c>
      <c r="L68" s="23">
        <v>9</v>
      </c>
      <c r="M68" s="27">
        <f t="shared" si="19"/>
        <v>1.125</v>
      </c>
    </row>
    <row r="69" spans="10:13" x14ac:dyDescent="0.25">
      <c r="J69" s="147" t="s">
        <v>79</v>
      </c>
      <c r="K69" s="149">
        <v>44</v>
      </c>
      <c r="L69" s="23">
        <v>47</v>
      </c>
      <c r="M69" s="27">
        <f t="shared" si="19"/>
        <v>1.0681818181818181</v>
      </c>
    </row>
    <row r="70" spans="10:13" x14ac:dyDescent="0.25">
      <c r="J70" s="147" t="s">
        <v>172</v>
      </c>
      <c r="K70" s="149">
        <v>154</v>
      </c>
      <c r="L70" s="23">
        <v>143</v>
      </c>
      <c r="M70" s="27">
        <f t="shared" si="19"/>
        <v>0.9285714285714286</v>
      </c>
    </row>
    <row r="71" spans="10:13" x14ac:dyDescent="0.25">
      <c r="J71" s="147" t="s">
        <v>80</v>
      </c>
      <c r="K71" s="149">
        <v>15</v>
      </c>
      <c r="L71" s="23">
        <v>12</v>
      </c>
      <c r="M71" s="27">
        <f t="shared" si="19"/>
        <v>0.8</v>
      </c>
    </row>
    <row r="72" spans="10:13" x14ac:dyDescent="0.25">
      <c r="J72" s="147" t="s">
        <v>76</v>
      </c>
      <c r="K72" s="149">
        <v>525</v>
      </c>
      <c r="L72" s="23">
        <v>437</v>
      </c>
      <c r="M72" s="27">
        <f t="shared" si="19"/>
        <v>0.83238095238095233</v>
      </c>
    </row>
    <row r="73" spans="10:13" x14ac:dyDescent="0.25">
      <c r="J73" s="148" t="s">
        <v>18</v>
      </c>
      <c r="K73" s="150">
        <v>683</v>
      </c>
      <c r="L73" s="154">
        <v>618</v>
      </c>
      <c r="M73" s="27">
        <f t="shared" si="19"/>
        <v>0.90483162518301608</v>
      </c>
    </row>
    <row r="74" spans="10:13" x14ac:dyDescent="0.25">
      <c r="J74" s="23" t="s">
        <v>78</v>
      </c>
      <c r="K74" s="155">
        <f>K71+K69+K62+K45</f>
        <v>297</v>
      </c>
      <c r="L74" s="155">
        <f>L71+L69+L62+L45</f>
        <v>234</v>
      </c>
      <c r="M74" s="27">
        <f t="shared" si="19"/>
        <v>0.78787878787878785</v>
      </c>
    </row>
    <row r="75" spans="10:13" x14ac:dyDescent="0.25">
      <c r="J75" s="23" t="s">
        <v>27</v>
      </c>
      <c r="K75" s="155">
        <f>K44+K46+K47+K53+K57+K58+K67+K68+K72+K42</f>
        <v>699</v>
      </c>
      <c r="L75" s="155">
        <f>L44+L46+L47+L53+L57+L58+L67+L68+L72+L42</f>
        <v>592</v>
      </c>
      <c r="M75" s="27">
        <f t="shared" si="19"/>
        <v>0.84692417739628045</v>
      </c>
    </row>
  </sheetData>
  <mergeCells count="24">
    <mergeCell ref="Z4:Z5"/>
    <mergeCell ref="N2:Q2"/>
    <mergeCell ref="V4:V5"/>
    <mergeCell ref="W4:W5"/>
    <mergeCell ref="X4:X5"/>
    <mergeCell ref="Y4:Y5"/>
    <mergeCell ref="AA4:AA5"/>
    <mergeCell ref="AB4:AB5"/>
    <mergeCell ref="AC4:AC5"/>
    <mergeCell ref="AD4:AD5"/>
    <mergeCell ref="AC3:AD3"/>
    <mergeCell ref="AI1:AQ1"/>
    <mergeCell ref="AF4:AF5"/>
    <mergeCell ref="AE3:AF3"/>
    <mergeCell ref="AI4:AI5"/>
    <mergeCell ref="AJ4:AJ5"/>
    <mergeCell ref="AK4:AK5"/>
    <mergeCell ref="AL4:AL5"/>
    <mergeCell ref="AE4:AE5"/>
    <mergeCell ref="AM4:AM5"/>
    <mergeCell ref="AP4:AP5"/>
    <mergeCell ref="AN4:AN5"/>
    <mergeCell ref="AO4:AO5"/>
    <mergeCell ref="AQ4:AQ5"/>
  </mergeCells>
  <conditionalFormatting sqref="J41:J73">
    <cfRule type="cellIs" dxfId="79" priority="1" operator="lessThan">
      <formula>0</formula>
    </cfRule>
  </conditionalFormatting>
  <pageMargins left="0.7" right="0.7" top="0.75" bottom="0.75" header="0.3" footer="0.3"/>
  <ignoredErrors>
    <ignoredError sqref="Q20" formula="1"/>
    <ignoredError sqref="W36 AC36 AE36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3646-4772-4613-9F91-AD3658A0829E}">
  <sheetPr codeName="Hoja6"/>
  <dimension ref="B3:AM73"/>
  <sheetViews>
    <sheetView zoomScale="95" workbookViewId="0">
      <selection activeCell="H15" sqref="H15"/>
    </sheetView>
  </sheetViews>
  <sheetFormatPr baseColWidth="10" defaultColWidth="8.7109375" defaultRowHeight="15" x14ac:dyDescent="0.25"/>
  <cols>
    <col min="1" max="1" width="8.7109375" style="11"/>
    <col min="2" max="2" width="10.28515625" style="11" customWidth="1"/>
    <col min="3" max="34" width="8.7109375" style="11"/>
    <col min="35" max="35" width="13.7109375" style="11" bestFit="1" customWidth="1"/>
    <col min="36" max="16384" width="8.7109375" style="11"/>
  </cols>
  <sheetData>
    <row r="3" spans="2:39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N3"/>
      <c r="AD3" s="273" t="s">
        <v>2</v>
      </c>
      <c r="AE3" s="273"/>
      <c r="AF3" s="273" t="s">
        <v>3</v>
      </c>
      <c r="AG3" s="273"/>
      <c r="AH3" s="274" t="s">
        <v>4</v>
      </c>
      <c r="AI3" s="275"/>
      <c r="AJ3" s="273" t="s">
        <v>5</v>
      </c>
      <c r="AK3" s="273"/>
      <c r="AL3" s="273" t="s">
        <v>182</v>
      </c>
      <c r="AM3" s="273" t="s">
        <v>6</v>
      </c>
    </row>
    <row r="4" spans="2:39" x14ac:dyDescent="0.25">
      <c r="B4" s="14" t="s">
        <v>13</v>
      </c>
      <c r="C4" s="27">
        <f>VLOOKUP(B4,'OR AUG'!$F$2:$L$16,'OR AUG'!$I$1,FALSE)</f>
        <v>1.0051282051282051</v>
      </c>
      <c r="D4" s="27">
        <f>VLOOKUP(B4,'OR AUG'!$F$2:$L$16,'OR AUG'!$L$1,FALSE)</f>
        <v>1.0402173913043478</v>
      </c>
      <c r="E4" s="27">
        <v>1</v>
      </c>
      <c r="F4" s="27">
        <f>VLOOKUP(B4,'OR AUG'!$S$3:$T$22,'OR AUG'!$T$2,FALSE)</f>
        <v>0.96701655572623324</v>
      </c>
      <c r="G4" s="27">
        <f>VLOOKUP(B4,'OR AUG'!$N$4:$Q$21,'OR AUG'!$Q$3,FALSE)</f>
        <v>1.0939054639218602</v>
      </c>
      <c r="H4" s="27">
        <f>VLOOKUP(B4,'OR AUG'!$F$41:$G$56,'OR AUG'!$G$40,FALSE)</f>
        <v>1</v>
      </c>
      <c r="I4" s="27">
        <v>1</v>
      </c>
      <c r="J4" s="30">
        <v>1</v>
      </c>
      <c r="K4" s="27">
        <f>VLOOKUP(B4,'OR AUG'!$V$4:$AB$37,'OR AUG'!$Y$3,FALSE)</f>
        <v>0.99481188314703628</v>
      </c>
      <c r="L4" s="27">
        <f>VLOOKUP(B4,'OR AUG'!$V$4:$AB$37,'OR AUG'!$AB$3,FALSE)</f>
        <v>1.04</v>
      </c>
      <c r="M4" s="27">
        <f>VLOOKUP(B4,'OR AUG'!$J$41:$M$75,'OR AUG'!$M$40,FALSE)</f>
        <v>1.077893024201749</v>
      </c>
      <c r="AC4" s="179" t="s">
        <v>27</v>
      </c>
      <c r="AD4" s="267">
        <v>1</v>
      </c>
      <c r="AE4" s="276">
        <v>0.75571428571428578</v>
      </c>
      <c r="AF4" s="267">
        <v>3</v>
      </c>
      <c r="AG4" s="276">
        <v>1.053409090909091</v>
      </c>
      <c r="AH4" s="267">
        <v>3</v>
      </c>
      <c r="AI4" s="276">
        <v>1</v>
      </c>
      <c r="AJ4" s="267">
        <v>3</v>
      </c>
      <c r="AK4" s="276">
        <v>0.90102442810934147</v>
      </c>
      <c r="AL4" s="23">
        <v>3</v>
      </c>
      <c r="AM4" s="27">
        <v>1.101010101010101</v>
      </c>
    </row>
    <row r="5" spans="2:39" x14ac:dyDescent="0.25">
      <c r="B5" s="14" t="s">
        <v>14</v>
      </c>
      <c r="C5" s="27">
        <f>VLOOKUP(B5,'OR AUG'!$F$2:$L$16,'OR AUG'!$I$1,FALSE)</f>
        <v>1.0219512195121951</v>
      </c>
      <c r="D5" s="27">
        <f>VLOOKUP(B5,'OR AUG'!$F$2:$L$16,'OR AUG'!$L$1,FALSE)</f>
        <v>1.0087912087912088</v>
      </c>
      <c r="E5" s="27">
        <v>1</v>
      </c>
      <c r="F5" s="27">
        <f>VLOOKUP(B5,'OR AUG'!$S$3:$T$22,'OR AUG'!$T$2,FALSE)</f>
        <v>0</v>
      </c>
      <c r="G5" s="27">
        <f>VLOOKUP(B5,'OR AUG'!$N$4:$Q$21,'OR AUG'!$Q$3,FALSE)</f>
        <v>0.98865899728607964</v>
      </c>
      <c r="H5" s="27">
        <f>VLOOKUP(B5,'OR AUG'!$F$41:$G$56,'OR AUG'!$G$40,FALSE)</f>
        <v>0.75</v>
      </c>
      <c r="I5" s="27">
        <v>1</v>
      </c>
      <c r="J5" s="30">
        <v>1</v>
      </c>
      <c r="K5" s="27">
        <f>VLOOKUP(B5,'OR AUG'!$V$4:$AB$37,'OR AUG'!$Y$3,FALSE)</f>
        <v>0.77761157494635835</v>
      </c>
      <c r="L5" s="27">
        <f>VLOOKUP(B5,'OR AUG'!$V$4:$AB$37,'OR AUG'!$AB$3,FALSE)</f>
        <v>1</v>
      </c>
      <c r="M5" s="27">
        <f>VLOOKUP(B5,'OR AUG'!$J$41:$M$75,'OR AUG'!$M$40,FALSE)</f>
        <v>0.83472022955523673</v>
      </c>
      <c r="AD5" s="267"/>
      <c r="AE5" s="276"/>
      <c r="AF5" s="267"/>
      <c r="AG5" s="276"/>
      <c r="AH5" s="267"/>
      <c r="AI5" s="276"/>
      <c r="AJ5" s="267"/>
      <c r="AK5" s="276"/>
      <c r="AL5" s="23">
        <v>1</v>
      </c>
      <c r="AM5" s="27">
        <v>3.0283911671924287E-2</v>
      </c>
    </row>
    <row r="6" spans="2:39" x14ac:dyDescent="0.25">
      <c r="B6" s="14" t="s">
        <v>15</v>
      </c>
      <c r="C6" s="27">
        <f>VLOOKUP(B6,'OR AUG'!$F$2:$L$16,'OR AUG'!$I$1,FALSE)</f>
        <v>1.0336956521739129</v>
      </c>
      <c r="D6" s="27">
        <f>VLOOKUP(B6,'OR AUG'!$F$2:$L$16,'OR AUG'!$L$1,FALSE)</f>
        <v>1.0163043478260869</v>
      </c>
      <c r="E6" s="27">
        <v>1</v>
      </c>
      <c r="F6" s="27">
        <f>VLOOKUP(B6,'OR AUG'!$S$3:$T$22,'OR AUG'!$T$2,FALSE)</f>
        <v>1.1111111111111112</v>
      </c>
      <c r="G6" s="27">
        <f>VLOOKUP(B6,'OR AUG'!$N$4:$Q$21,'OR AUG'!$Q$3,FALSE)</f>
        <v>1.3689868588384906</v>
      </c>
      <c r="H6" s="27">
        <f>VLOOKUP(B6,'OR AUG'!$F$41:$G$56,'OR AUG'!$G$40,FALSE)</f>
        <v>0.75</v>
      </c>
      <c r="I6" s="27">
        <v>1</v>
      </c>
      <c r="J6" s="30">
        <v>1</v>
      </c>
      <c r="K6" s="27">
        <f>VLOOKUP(B6,'OR AUG'!$V$4:$AB$37,'OR AUG'!$Y$3,FALSE)</f>
        <v>1.1103742167601245</v>
      </c>
      <c r="L6" s="27">
        <f>VLOOKUP(B6,'OR AUG'!$V$4:$AB$37,'OR AUG'!$AB$3,FALSE)</f>
        <v>1.0075757575757576</v>
      </c>
      <c r="M6" s="27">
        <f>VLOOKUP(B6,'OR AUG'!$J$41:$M$75,'OR AUG'!$M$40,FALSE)</f>
        <v>1.0585991678224689</v>
      </c>
      <c r="S6" s="11" t="s">
        <v>183</v>
      </c>
    </row>
    <row r="7" spans="2:39" x14ac:dyDescent="0.25">
      <c r="B7" s="14" t="s">
        <v>16</v>
      </c>
      <c r="C7" s="27">
        <f>VLOOKUP(B7,'OR AUG'!$F$2:$L$16,'OR AUG'!$I$1,FALSE)</f>
        <v>1.0211764705882354</v>
      </c>
      <c r="D7" s="27">
        <f>VLOOKUP(B7,'OR AUG'!$F$2:$L$16,'OR AUG'!$L$1,FALSE)</f>
        <v>1.0446808510638299</v>
      </c>
      <c r="E7" s="27">
        <v>1</v>
      </c>
      <c r="F7" s="27">
        <f>VLOOKUP(B7,'OR AUG'!$S$3:$T$22,'OR AUG'!$T$2,FALSE)</f>
        <v>1.0637912154944371</v>
      </c>
      <c r="G7" s="27">
        <f>VLOOKUP(B7,'OR AUG'!$N$4:$Q$21,'OR AUG'!$Q$3,FALSE)</f>
        <v>1.8200331517878288</v>
      </c>
      <c r="H7" s="27">
        <f>VLOOKUP(B7,'OR AUG'!$F$41:$G$56,'OR AUG'!$G$40,FALSE)</f>
        <v>1</v>
      </c>
      <c r="I7" s="27">
        <v>1</v>
      </c>
      <c r="J7" s="30">
        <v>1</v>
      </c>
      <c r="K7" s="27">
        <f>VLOOKUP(B7,'OR AUG'!$V$4:$AB$37,'OR AUG'!$Y$3,FALSE)</f>
        <v>0.95386019719822812</v>
      </c>
      <c r="L7" s="27">
        <f>VLOOKUP(B7,'OR AUG'!$V$4:$AB$37,'OR AUG'!$AB$3,FALSE)</f>
        <v>1.0097087378640777</v>
      </c>
      <c r="M7" s="27">
        <f>VLOOKUP(B7,'OR AUG'!$J$41:$M$75,'OR AUG'!$M$40,FALSE)</f>
        <v>1.0949263502454991</v>
      </c>
      <c r="S7" s="11" t="s">
        <v>184</v>
      </c>
    </row>
    <row r="8" spans="2:39" x14ac:dyDescent="0.25">
      <c r="B8" s="14" t="s">
        <v>17</v>
      </c>
      <c r="C8" s="27">
        <f>VLOOKUP(B8,'OR AUG'!$F$2:$L$16,'OR AUG'!$I$1,FALSE)</f>
        <v>1.0220930232558141</v>
      </c>
      <c r="D8" s="27">
        <f>VLOOKUP(B8,'OR AUG'!$F$2:$L$16,'OR AUG'!$L$1,FALSE)</f>
        <v>1.0844444444444443</v>
      </c>
      <c r="E8" s="27">
        <v>1</v>
      </c>
      <c r="F8" s="27">
        <f>VLOOKUP(B8,'OR AUG'!$S$3:$T$22,'OR AUG'!$T$2,FALSE)</f>
        <v>1.1111111111111112</v>
      </c>
      <c r="G8" s="27">
        <f>VLOOKUP(B8,'OR AUG'!$N$4:$Q$21,'OR AUG'!$Q$3,FALSE)</f>
        <v>1.3161419959812457</v>
      </c>
      <c r="H8" s="27">
        <f>VLOOKUP(B8,'OR AUG'!$F$41:$G$56,'OR AUG'!$G$40,FALSE)</f>
        <v>1</v>
      </c>
      <c r="I8" s="27">
        <v>1</v>
      </c>
      <c r="J8" s="30">
        <v>1</v>
      </c>
      <c r="K8" s="27">
        <f>VLOOKUP(B8,'OR AUG'!$V$4:$AB$37,'OR AUG'!$Y$3,FALSE)</f>
        <v>0.8856981632445291</v>
      </c>
      <c r="L8" s="27">
        <f>VLOOKUP(B8,'OR AUG'!$V$4:$AB$37,'OR AUG'!$AB$3,FALSE)</f>
        <v>1</v>
      </c>
      <c r="M8" s="27">
        <f>VLOOKUP(B8,'OR AUG'!$J$41:$M$75,'OR AUG'!$M$40,FALSE)</f>
        <v>0.82781456953642385</v>
      </c>
      <c r="S8" s="11" t="s">
        <v>185</v>
      </c>
    </row>
    <row r="9" spans="2:39" x14ac:dyDescent="0.25">
      <c r="B9" s="14" t="s">
        <v>18</v>
      </c>
      <c r="C9" s="27">
        <f>VLOOKUP(B9,'OR AUG'!$F$2:$L$16,'OR AUG'!$I$1,FALSE)</f>
        <v>1.0563829787234043</v>
      </c>
      <c r="D9" s="27">
        <f>VLOOKUP(B9,'OR AUG'!$F$2:$L$16,'OR AUG'!$L$1,FALSE)</f>
        <v>1.0378947368421052</v>
      </c>
      <c r="E9" s="27">
        <v>1</v>
      </c>
      <c r="F9" s="27">
        <f>VLOOKUP(B9,'OR AUG'!$S$3:$T$22,'OR AUG'!$T$2,FALSE)</f>
        <v>1.0069076996154176</v>
      </c>
      <c r="G9" s="27">
        <f>VLOOKUP(B9,'OR AUG'!$N$4:$Q$21,'OR AUG'!$Q$3,FALSE)</f>
        <v>1.0683123339333163</v>
      </c>
      <c r="H9" s="27">
        <f>VLOOKUP(B9,'OR AUG'!$F$41:$G$56,'OR AUG'!$G$40,FALSE)</f>
        <v>1</v>
      </c>
      <c r="I9" s="27">
        <v>1</v>
      </c>
      <c r="J9" s="30">
        <v>1</v>
      </c>
      <c r="K9" s="27">
        <f>VLOOKUP(B9,'OR AUG'!$V$4:$AB$37,'OR AUG'!$Y$3,FALSE)</f>
        <v>1.0026368131728454</v>
      </c>
      <c r="L9" s="27">
        <f>VLOOKUP(B9,'OR AUG'!$V$4:$AB$37,'OR AUG'!$AB$3,FALSE)</f>
        <v>1</v>
      </c>
      <c r="M9" s="27">
        <f>VLOOKUP(B9,'OR AUG'!$J$41:$M$75,'OR AUG'!$M$40,FALSE)</f>
        <v>0.90483162518301608</v>
      </c>
      <c r="S9" s="11" t="s">
        <v>186</v>
      </c>
      <c r="AD9" s="273" t="s">
        <v>43</v>
      </c>
      <c r="AE9" s="273"/>
      <c r="AF9" s="273" t="s">
        <v>8</v>
      </c>
      <c r="AG9" s="273"/>
      <c r="AH9" s="273" t="s">
        <v>9</v>
      </c>
      <c r="AI9" s="273"/>
    </row>
    <row r="10" spans="2:39" x14ac:dyDescent="0.25">
      <c r="B10" s="14" t="s">
        <v>19</v>
      </c>
      <c r="C10" s="27">
        <f>VLOOKUP(B10,'OR AUG'!$F$2:$L$16,'OR AUG'!$I$1,FALSE)</f>
        <v>1.1100000000000001</v>
      </c>
      <c r="D10" s="27">
        <f>VLOOKUP(B10,'OR AUG'!$F$2:$L$16,'OR AUG'!$L$1,FALSE)</f>
        <v>1.1385542168674698</v>
      </c>
      <c r="E10" s="27">
        <v>1</v>
      </c>
      <c r="F10" s="27">
        <f>VLOOKUP(B10,'OR AUG'!$S$3:$T$22,'OR AUG'!$T$2,FALSE)</f>
        <v>1.0857092306136893</v>
      </c>
      <c r="G10" s="27">
        <f>VLOOKUP(B10,'OR AUG'!$N$4:$Q$21,'OR AUG'!$Q$3,FALSE)</f>
        <v>1.0546646584566319</v>
      </c>
      <c r="H10" s="27">
        <f>VLOOKUP(B10,'OR AUG'!$F$41:$G$56,'OR AUG'!$G$40,FALSE)</f>
        <v>0.75</v>
      </c>
      <c r="I10" s="99">
        <v>1</v>
      </c>
      <c r="J10" s="30">
        <v>1</v>
      </c>
      <c r="K10" s="27">
        <f>VLOOKUP(B10,'OR AUG'!$V$4:$AB$37,'OR AUG'!$Y$3,FALSE)</f>
        <v>1.065206374892208</v>
      </c>
      <c r="L10" s="27">
        <f>VLOOKUP(B10,'OR AUG'!$V$4:$AB$37,'OR AUG'!$AB$3,FALSE)</f>
        <v>0.93939393939393945</v>
      </c>
      <c r="M10" s="27">
        <f>VLOOKUP(B10,'OR AUG'!$J$41:$M$75,'OR AUG'!$M$40,FALSE)</f>
        <v>0.89440337909186907</v>
      </c>
      <c r="S10" s="11" t="s">
        <v>187</v>
      </c>
      <c r="AD10" s="23">
        <v>1</v>
      </c>
      <c r="AE10" s="27">
        <v>0.75</v>
      </c>
      <c r="AF10" s="276" t="s">
        <v>188</v>
      </c>
      <c r="AG10" s="276"/>
      <c r="AH10" s="23">
        <v>3</v>
      </c>
      <c r="AI10" s="27">
        <v>1</v>
      </c>
    </row>
    <row r="11" spans="2:39" x14ac:dyDescent="0.25">
      <c r="B11" s="14" t="s">
        <v>20</v>
      </c>
      <c r="C11" s="27">
        <f>VLOOKUP(B11,'OR AUG'!$F$2:$L$16,'OR AUG'!$I$1,FALSE)</f>
        <v>0.91857142857142871</v>
      </c>
      <c r="D11" s="27">
        <f>VLOOKUP(B11,'OR AUG'!$F$2:$L$16,'OR AUG'!$L$1,FALSE)</f>
        <v>1.2048192771084338</v>
      </c>
      <c r="E11" s="27">
        <v>1</v>
      </c>
      <c r="F11" s="27">
        <f>VLOOKUP(B11,'OR AUG'!$S$3:$T$22,'OR AUG'!$T$2,FALSE)</f>
        <v>1.0987458046281573</v>
      </c>
      <c r="G11" s="27">
        <f>VLOOKUP(B11,'OR AUG'!$N$4:$Q$21,'OR AUG'!$Q$3,FALSE)</f>
        <v>0.9687137891077634</v>
      </c>
      <c r="H11" s="27">
        <f>VLOOKUP(B11,'OR AUG'!$F$41:$G$56,'OR AUG'!$G$40,FALSE)</f>
        <v>0.75</v>
      </c>
      <c r="I11" s="99">
        <v>1</v>
      </c>
      <c r="J11" s="30">
        <v>1</v>
      </c>
      <c r="K11" s="27">
        <f>VLOOKUP(B11,'OR AUG'!$V$4:$AB$37,'OR AUG'!$Y$3,FALSE)</f>
        <v>1.1036330150792624</v>
      </c>
      <c r="L11" s="27">
        <f>VLOOKUP(B11,'OR AUG'!$V$4:$AB$37,'OR AUG'!$AB$3,FALSE)</f>
        <v>1.0344827586206897</v>
      </c>
      <c r="M11" s="27">
        <f>VLOOKUP(B11,'OR AUG'!$J$41:$M$75,'OR AUG'!$M$40,FALSE)</f>
        <v>0.91721542803386646</v>
      </c>
    </row>
    <row r="12" spans="2:39" x14ac:dyDescent="0.25">
      <c r="B12" s="14" t="s">
        <v>21</v>
      </c>
      <c r="C12" s="27">
        <f>VLOOKUP(B12,'OR AUG'!$F$2:$L$16,'OR AUG'!$I$1,FALSE)</f>
        <v>0.85714285714285721</v>
      </c>
      <c r="D12" s="27">
        <f>VLOOKUP(B12,'OR AUG'!$F$2:$L$16,'OR AUG'!$L$1,FALSE)</f>
        <v>1.1060240963855423</v>
      </c>
      <c r="E12" s="27">
        <v>1</v>
      </c>
      <c r="F12" s="27">
        <f>VLOOKUP(B12,'OR AUG'!$S$3:$T$22,'OR AUG'!$T$2,FALSE)</f>
        <v>1.0716166403370195</v>
      </c>
      <c r="G12" s="27">
        <f>VLOOKUP(B12,'OR AUG'!$N$4:$Q$21,'OR AUG'!$Q$3,FALSE)</f>
        <v>0.8499452354874043</v>
      </c>
      <c r="H12" s="27">
        <f>VLOOKUP(B12,'OR AUG'!$F$41:$G$56,'OR AUG'!$G$40,FALSE)</f>
        <v>0.75</v>
      </c>
      <c r="I12" s="99">
        <v>1</v>
      </c>
      <c r="J12" s="30">
        <v>1</v>
      </c>
      <c r="K12" s="27">
        <f>VLOOKUP(B12,'OR AUG'!$V$4:$AB$37,'OR AUG'!$Y$3,FALSE)</f>
        <v>1.1429706693676998</v>
      </c>
      <c r="L12" s="27">
        <f>VLOOKUP(B12,'OR AUG'!$V$4:$AB$37,'OR AUG'!$AB$3,FALSE)</f>
        <v>1.1428571428571428</v>
      </c>
      <c r="M12" s="27">
        <f>VLOOKUP(B12,'OR AUG'!$J$41:$M$75,'OR AUG'!$M$40,FALSE)</f>
        <v>0.92380952380952386</v>
      </c>
      <c r="AD12" s="273" t="s">
        <v>10</v>
      </c>
      <c r="AE12" s="273"/>
      <c r="AF12" s="273" t="s">
        <v>11</v>
      </c>
      <c r="AG12" s="273"/>
      <c r="AH12" s="273" t="s">
        <v>12</v>
      </c>
      <c r="AI12" s="273"/>
    </row>
    <row r="13" spans="2:39" x14ac:dyDescent="0.25">
      <c r="B13" s="14" t="s">
        <v>22</v>
      </c>
      <c r="C13" s="27">
        <f>VLOOKUP(B13,'OR AUG'!$F$2:$L$16,'OR AUG'!$I$1,FALSE)</f>
        <v>1.1285714285714288</v>
      </c>
      <c r="D13" s="27">
        <f>VLOOKUP(B13,'OR AUG'!$F$2:$L$16,'OR AUG'!$L$1,FALSE)</f>
        <v>1.0943181818181817</v>
      </c>
      <c r="E13" s="27">
        <v>1</v>
      </c>
      <c r="F13" s="27">
        <f>VLOOKUP(B13,'OR AUG'!$S$3:$T$22,'OR AUG'!$T$2,FALSE)</f>
        <v>1.1111111111111112</v>
      </c>
      <c r="G13" s="27">
        <f>VLOOKUP(B13,'OR AUG'!$N$4:$Q$21,'OR AUG'!$Q$3,FALSE)</f>
        <v>1.0526606772633031</v>
      </c>
      <c r="H13" s="27">
        <f>VLOOKUP(B13,'OR AUG'!$F$41:$G$56,'OR AUG'!$G$40,FALSE)</f>
        <v>1</v>
      </c>
      <c r="I13" s="99">
        <v>1</v>
      </c>
      <c r="J13" s="30">
        <v>1</v>
      </c>
      <c r="K13" s="27">
        <f>VLOOKUP(B13,'OR AUG'!$V$4:$AB$37,'OR AUG'!$Y$3,FALSE)</f>
        <v>1.022181874978356</v>
      </c>
      <c r="L13" s="27">
        <f>VLOOKUP(B13,'OR AUG'!$V$4:$AB$37,'OR AUG'!$AB$3,FALSE)</f>
        <v>0.97297297297297292</v>
      </c>
      <c r="M13" s="27">
        <f>VLOOKUP(B13,'OR AUG'!$J$41:$M$75,'OR AUG'!$M$40,FALSE)</f>
        <v>0.87378640776699024</v>
      </c>
      <c r="AD13" s="23">
        <v>3</v>
      </c>
      <c r="AE13" s="27">
        <v>1.2465392998095388</v>
      </c>
      <c r="AF13" s="23">
        <v>1</v>
      </c>
      <c r="AG13" s="27">
        <v>0.97378174330816747</v>
      </c>
      <c r="AH13" s="23">
        <v>1</v>
      </c>
      <c r="AI13" s="27">
        <v>0.84692417739628045</v>
      </c>
    </row>
    <row r="14" spans="2:39" x14ac:dyDescent="0.25">
      <c r="B14" s="14" t="s">
        <v>23</v>
      </c>
      <c r="C14" s="27">
        <f>VLOOKUP(B14,'OR AUG'!$F$2:$L$16,'OR AUG'!$I$1,FALSE)</f>
        <v>1.0093333333333334</v>
      </c>
      <c r="D14" s="27">
        <f>VLOOKUP(B14,'OR AUG'!$F$2:$L$16,'OR AUG'!$L$1,FALSE)</f>
        <v>1.03855421686747</v>
      </c>
      <c r="E14" s="27">
        <v>1</v>
      </c>
      <c r="F14" s="21">
        <f>VLOOKUP(B14,'OR AUG'!$S$3:$T$22,'OR AUG'!$T$2,FALSE)</f>
        <v>0.99721559268098647</v>
      </c>
      <c r="G14" s="27">
        <f>VLOOKUP(B14,'OR AUG'!$N$4:$Q$21,'OR AUG'!$Q$3,FALSE)</f>
        <v>1.0889654353248601</v>
      </c>
      <c r="H14" s="27">
        <f>VLOOKUP(B14,'OR AUG'!$F$41:$G$56,'OR AUG'!$G$40,FALSE)</f>
        <v>0.75</v>
      </c>
      <c r="I14" s="99" t="s">
        <v>24</v>
      </c>
      <c r="J14" s="30">
        <v>1</v>
      </c>
      <c r="K14" s="27">
        <f>VLOOKUP(B14,'OR AUG'!$V$4:$AB$37,'OR AUG'!$Y$3,FALSE)</f>
        <v>1.2686383581857721</v>
      </c>
      <c r="L14" s="27">
        <f>VLOOKUP(B14,'OR AUG'!$V$4:$AB$37,'OR AUG'!$AB$3,FALSE)</f>
        <v>0.98561151079136711</v>
      </c>
      <c r="M14" s="27">
        <f>VLOOKUP(B14,'OR AUG'!$J$41:$M$75,'OR AUG'!$M$40,FALSE)</f>
        <v>0.89479512735326694</v>
      </c>
    </row>
    <row r="15" spans="2:39" x14ac:dyDescent="0.25">
      <c r="B15" s="14" t="s">
        <v>25</v>
      </c>
      <c r="C15" s="27">
        <f>VLOOKUP(B15,'OR AUG'!$F$2:$L$16,'OR AUG'!$I$1,FALSE)</f>
        <v>1.0833333333333335</v>
      </c>
      <c r="D15" s="27">
        <f>VLOOKUP(B15,'OR AUG'!$F$2:$L$16,'OR AUG'!$L$1,FALSE)</f>
        <v>1.04</v>
      </c>
      <c r="E15" s="27">
        <v>1</v>
      </c>
      <c r="F15" s="27">
        <f>VLOOKUP(B15,'OR AUG'!$S$3:$T$22,'OR AUG'!$T$2,FALSE)</f>
        <v>0.96666666666666667</v>
      </c>
      <c r="G15" s="27">
        <f>VLOOKUP(B15,'OR AUG'!$N$4:$Q$21,'OR AUG'!$Q$3,FALSE)</f>
        <v>1.1322620519159452</v>
      </c>
      <c r="H15" s="27">
        <f>VLOOKUP(B15,'OR AUG'!$F$41:$G$56,'OR AUG'!$G$40,FALSE)</f>
        <v>0.5</v>
      </c>
      <c r="I15" s="99" t="s">
        <v>24</v>
      </c>
      <c r="J15" s="30">
        <v>1</v>
      </c>
      <c r="K15" s="27">
        <f>VLOOKUP(B15,'OR AUG'!$V$4:$AB$37,'OR AUG'!$Y$3,FALSE)</f>
        <v>0.84562851764373081</v>
      </c>
      <c r="L15" s="27">
        <f>VLOOKUP(B15,'OR AUG'!$V$4:$AB$37,'OR AUG'!$AB$3,FALSE)</f>
        <v>1.2283464566929134</v>
      </c>
      <c r="M15" s="27">
        <f>VLOOKUP(B15,'OR AUG'!$J$41:$M$75,'OR AUG'!$M$40,FALSE)</f>
        <v>0.78266033254156775</v>
      </c>
    </row>
    <row r="16" spans="2:39" x14ac:dyDescent="0.25">
      <c r="B16" s="14" t="s">
        <v>26</v>
      </c>
      <c r="C16" s="27">
        <f>VLOOKUP(B16,'OR AUG'!$F$2:$L$16,'OR AUG'!$I$1,FALSE)</f>
        <v>1.0505882352941176</v>
      </c>
      <c r="D16" s="27">
        <f>VLOOKUP(B16,'OR AUG'!$F$2:$L$16,'OR AUG'!$L$1,FALSE)</f>
        <v>1.0620689655172415</v>
      </c>
      <c r="E16" s="27">
        <v>1</v>
      </c>
      <c r="F16" s="27">
        <f>VLOOKUP(B16,'OR AUG'!$S$3:$T$22,'OR AUG'!$T$2,FALSE)</f>
        <v>1.0926032293062735</v>
      </c>
      <c r="G16" s="27">
        <f>VLOOKUP(B16,'OR AUG'!$N$4:$Q$21,'OR AUG'!$Q$3,FALSE)</f>
        <v>0.93018268162843232</v>
      </c>
      <c r="H16" s="27">
        <f>VLOOKUP(B16,'OR AUG'!$F$41:$G$56,'OR AUG'!$G$40,FALSE)</f>
        <v>0.75</v>
      </c>
      <c r="I16" s="99" t="s">
        <v>24</v>
      </c>
      <c r="J16" s="30">
        <v>1</v>
      </c>
      <c r="K16" s="27">
        <f>VLOOKUP(B16,'OR AUG'!$V$4:$AB$37,'OR AUG'!$Y$3,FALSE)</f>
        <v>0.86835713458001618</v>
      </c>
      <c r="L16" s="27">
        <f>VLOOKUP(B16,'OR AUG'!$V$4:$AB$37,'OR AUG'!$AB$3,FALSE)</f>
        <v>0.93023255813953498</v>
      </c>
      <c r="M16" s="27">
        <f>VLOOKUP(B16,'OR AUG'!$J$41:$M$75,'OR AUG'!$M$40,FALSE)</f>
        <v>0.93008474576271183</v>
      </c>
    </row>
    <row r="17" spans="2:35" x14ac:dyDescent="0.25">
      <c r="B17" s="14" t="s">
        <v>27</v>
      </c>
      <c r="C17" s="27">
        <f>VLOOKUP(B17,'OR AUG'!$F$2:$L$16,'OR AUG'!$I$1,FALSE)</f>
        <v>0.75571428571428578</v>
      </c>
      <c r="D17" s="27">
        <f>VLOOKUP(B17,'OR AUG'!$F$2:$L$16,'OR AUG'!$L$1,FALSE)</f>
        <v>1.053409090909091</v>
      </c>
      <c r="E17" s="27">
        <v>1</v>
      </c>
      <c r="F17" s="27">
        <f>VLOOKUP(B17,'OR AUG'!$S$3:$T$22,'OR AUG'!$T$2,FALSE)</f>
        <v>0.90102442810934147</v>
      </c>
      <c r="G17" s="27">
        <f>VLOOKUP(B17,'OR AUG'!$N$4:$Q$21,'OR AUG'!$Q$3,FALSE)</f>
        <v>0.76059936908517345</v>
      </c>
      <c r="H17" s="27">
        <f>VLOOKUP(B17,'OR AUG'!$F$41:$G$56,'OR AUG'!$G$40,FALSE)</f>
        <v>0.75</v>
      </c>
      <c r="I17" s="99" t="s">
        <v>24</v>
      </c>
      <c r="J17" s="30">
        <v>1</v>
      </c>
      <c r="K17" s="27">
        <f>VLOOKUP(B17,'OR AUG'!$V$4:$AB$37,'OR AUG'!$Y$3,FALSE)</f>
        <v>1.2465392998095388</v>
      </c>
      <c r="L17" s="27">
        <f>VLOOKUP(B17,'OR AUG'!$V$4:$AB$37,'OR AUG'!$AB$3,FALSE)</f>
        <v>0.97378174330816747</v>
      </c>
      <c r="M17" s="27">
        <f>VLOOKUP(B17,'OR AUG'!$J$41:$M$75,'OR AUG'!$M$40,FALSE)</f>
        <v>0.84692417739628045</v>
      </c>
    </row>
    <row r="18" spans="2:35" x14ac:dyDescent="0.25">
      <c r="B18" s="29" t="s">
        <v>78</v>
      </c>
      <c r="C18" s="27" t="s">
        <v>24</v>
      </c>
      <c r="D18" s="27" t="s">
        <v>24</v>
      </c>
      <c r="E18" s="27">
        <v>1</v>
      </c>
      <c r="F18" s="27">
        <f>VLOOKUP(B18,'OR AUG'!$S$3:$T$22,'OR AUG'!$T$2,FALSE)</f>
        <v>0.59746538171816344</v>
      </c>
      <c r="G18" s="27">
        <f>VLOOKUP(B18,'OR AUG'!$N$4:$Q$21,'OR AUG'!$Q$3,FALSE)</f>
        <v>0.8024030299072743</v>
      </c>
      <c r="H18" s="27">
        <f>VLOOKUP(B18,'OR AUG'!$F$41:$G$56,'OR AUG'!$G$40,FALSE)</f>
        <v>0.75</v>
      </c>
      <c r="I18" s="27" t="s">
        <v>24</v>
      </c>
      <c r="J18" s="30">
        <v>1</v>
      </c>
      <c r="K18" s="27">
        <f>VLOOKUP(B18,'OR AUG'!$V$4:$AB$37,'OR AUG'!$Y$3,FALSE)</f>
        <v>1.0906333333333333</v>
      </c>
      <c r="L18" s="27">
        <f>VLOOKUP(B18,'OR AUG'!$V$4:$AB$37,'OR AUG'!$AB$3,FALSE)</f>
        <v>1.0046285582041194</v>
      </c>
      <c r="M18" s="27">
        <f>VLOOKUP(B18,'OR AUG'!$J$41:$M$75,'OR AUG'!$M$40,FALSE)</f>
        <v>0.78787878787878785</v>
      </c>
      <c r="AI18" s="11">
        <v>15800000</v>
      </c>
    </row>
    <row r="19" spans="2:35" x14ac:dyDescent="0.25">
      <c r="AI19" s="180">
        <f>AI18*7%</f>
        <v>1106000</v>
      </c>
    </row>
    <row r="21" spans="2:3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3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3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3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3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3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3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3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3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3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3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3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29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 s="11">
        <v>1</v>
      </c>
      <c r="C38" s="11">
        <v>2</v>
      </c>
      <c r="D38" s="11">
        <v>3</v>
      </c>
      <c r="E38" s="11">
        <v>4</v>
      </c>
      <c r="F38" s="11">
        <v>5</v>
      </c>
      <c r="G38" s="11">
        <v>6</v>
      </c>
      <c r="H38" s="11">
        <v>7</v>
      </c>
      <c r="I38" s="11">
        <v>8</v>
      </c>
      <c r="J38" s="11">
        <v>9</v>
      </c>
      <c r="K38" s="11">
        <v>10</v>
      </c>
      <c r="L38" s="11">
        <v>11</v>
      </c>
      <c r="M38" s="11">
        <v>12</v>
      </c>
      <c r="N38" s="11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3.8680662229049333E-2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0.19896237662940727</v>
      </c>
      <c r="L40" s="21">
        <f t="shared" si="1"/>
        <v>0.1</v>
      </c>
      <c r="M40" s="21">
        <f t="shared" si="1"/>
        <v>0.3</v>
      </c>
      <c r="N40" s="24">
        <f>SUM(C40:M40)</f>
        <v>0.99764303885845651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0</v>
      </c>
      <c r="G41" s="21">
        <f t="shared" si="2"/>
        <v>3.9546359891443186E-2</v>
      </c>
      <c r="H41" s="21">
        <f t="shared" si="2"/>
        <v>3.7500000000000006E-2</v>
      </c>
      <c r="I41" s="21">
        <f t="shared" si="2"/>
        <v>0.03</v>
      </c>
      <c r="J41" s="21">
        <f t="shared" si="2"/>
        <v>7.0000000000000007E-2</v>
      </c>
      <c r="K41" s="21">
        <f t="shared" si="2"/>
        <v>0.15552231498927169</v>
      </c>
      <c r="L41" s="21">
        <f t="shared" si="2"/>
        <v>0.1</v>
      </c>
      <c r="M41" s="21">
        <f t="shared" si="2"/>
        <v>0.25041606886657103</v>
      </c>
      <c r="N41" s="24">
        <f t="shared" ref="N41:N54" si="3">SUM(C41:M41)</f>
        <v>0.85298474374728595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3.7500000000000006E-2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0.98750000000000004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0.19077203943964563</v>
      </c>
      <c r="L43" s="21">
        <f t="shared" si="2"/>
        <v>0.1</v>
      </c>
      <c r="M43" s="21">
        <f t="shared" si="2"/>
        <v>0.3</v>
      </c>
      <c r="N43" s="24">
        <f t="shared" si="3"/>
        <v>0.99077203943964554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0.17713963264890584</v>
      </c>
      <c r="L44" s="21">
        <f t="shared" si="2"/>
        <v>0.1</v>
      </c>
      <c r="M44" s="21">
        <f t="shared" si="2"/>
        <v>0.24834437086092714</v>
      </c>
      <c r="N44" s="24">
        <f t="shared" si="3"/>
        <v>0.92548400350983284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0.04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0.27144948755490483</v>
      </c>
      <c r="N45" s="24">
        <f t="shared" si="3"/>
        <v>0.97144948755490479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3.7500000000000006E-2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9.3939393939393948E-2</v>
      </c>
      <c r="M46" s="21">
        <f t="shared" si="2"/>
        <v>0.26832101372756073</v>
      </c>
      <c r="N46" s="24">
        <f t="shared" si="3"/>
        <v>0.9497604076669548</v>
      </c>
    </row>
    <row r="47" spans="2:14" x14ac:dyDescent="0.25">
      <c r="B47" s="14" t="s">
        <v>20</v>
      </c>
      <c r="C47" s="21">
        <f t="shared" si="2"/>
        <v>5.511428571428572E-2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3.8748551564310535E-2</v>
      </c>
      <c r="H47" s="21">
        <f t="shared" si="2"/>
        <v>3.7500000000000006E-2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0.27516462841015993</v>
      </c>
      <c r="N47" s="24">
        <f t="shared" si="3"/>
        <v>0.95652746568875613</v>
      </c>
    </row>
    <row r="48" spans="2:14" x14ac:dyDescent="0.25">
      <c r="B48" s="14" t="s">
        <v>21</v>
      </c>
      <c r="C48" s="21">
        <f t="shared" si="2"/>
        <v>5.1428571428571428E-2</v>
      </c>
      <c r="D48" s="21">
        <f t="shared" si="2"/>
        <v>0.06</v>
      </c>
      <c r="E48" s="21">
        <f t="shared" si="2"/>
        <v>0.05</v>
      </c>
      <c r="F48" s="21">
        <f t="shared" si="2"/>
        <v>0.04</v>
      </c>
      <c r="G48" s="21">
        <f t="shared" si="2"/>
        <v>3.3997809419496171E-2</v>
      </c>
      <c r="H48" s="21">
        <f t="shared" si="2"/>
        <v>3.7500000000000006E-2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0.27714285714285714</v>
      </c>
      <c r="N48" s="24">
        <f t="shared" si="3"/>
        <v>0.9500692379909248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0.2</v>
      </c>
      <c r="L49" s="21">
        <f t="shared" si="2"/>
        <v>9.7297297297297303E-2</v>
      </c>
      <c r="M49" s="21">
        <f t="shared" si="2"/>
        <v>0.26213592233009708</v>
      </c>
      <c r="N49" s="24">
        <f t="shared" si="3"/>
        <v>0.95943321962739436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3.9888623707239459E-2</v>
      </c>
      <c r="G50" s="21">
        <f t="shared" si="2"/>
        <v>0.04</v>
      </c>
      <c r="H50" s="21">
        <f t="shared" si="2"/>
        <v>3.7500000000000006E-2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0.26843853820598007</v>
      </c>
      <c r="N50" s="24">
        <f t="shared" si="3"/>
        <v>0.95438831299235616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3.8666666666666669E-2</v>
      </c>
      <c r="G51" s="21">
        <f t="shared" si="2"/>
        <v>0.04</v>
      </c>
      <c r="H51" s="21">
        <f t="shared" si="2"/>
        <v>2.5000000000000001E-2</v>
      </c>
      <c r="I51" s="21" t="s">
        <v>24</v>
      </c>
      <c r="J51" s="21">
        <f t="shared" si="2"/>
        <v>0.1</v>
      </c>
      <c r="K51" s="21">
        <f t="shared" si="2"/>
        <v>0.16912570352874617</v>
      </c>
      <c r="L51" s="21">
        <f t="shared" si="2"/>
        <v>0.1</v>
      </c>
      <c r="M51" s="21">
        <f t="shared" si="2"/>
        <v>0.23479809976247032</v>
      </c>
      <c r="N51" s="24">
        <f t="shared" si="3"/>
        <v>0.87759046995788326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3.7207307265137296E-2</v>
      </c>
      <c r="H52" s="21">
        <f t="shared" si="2"/>
        <v>3.7500000000000006E-2</v>
      </c>
      <c r="I52" s="21" t="s">
        <v>24</v>
      </c>
      <c r="J52" s="21">
        <f t="shared" si="2"/>
        <v>0.1</v>
      </c>
      <c r="K52" s="21">
        <f t="shared" si="2"/>
        <v>0.17367142691600324</v>
      </c>
      <c r="L52" s="21">
        <f t="shared" si="2"/>
        <v>9.3023255813953501E-2</v>
      </c>
      <c r="M52" s="21">
        <f t="shared" si="2"/>
        <v>0.27902542372881356</v>
      </c>
      <c r="N52" s="24">
        <f t="shared" si="3"/>
        <v>0.93042741372390758</v>
      </c>
    </row>
    <row r="53" spans="2:14" x14ac:dyDescent="0.25">
      <c r="B53" s="14" t="s">
        <v>27</v>
      </c>
      <c r="C53" s="21">
        <f t="shared" si="2"/>
        <v>4.5342857142857143E-2</v>
      </c>
      <c r="D53" s="21">
        <f t="shared" si="2"/>
        <v>0.06</v>
      </c>
      <c r="E53" s="21">
        <f t="shared" si="2"/>
        <v>0.05</v>
      </c>
      <c r="F53" s="21">
        <f t="shared" si="2"/>
        <v>3.6040977124373659E-2</v>
      </c>
      <c r="G53" s="21">
        <f t="shared" si="2"/>
        <v>3.0423974763406938E-2</v>
      </c>
      <c r="H53" s="21">
        <f t="shared" si="2"/>
        <v>3.7500000000000006E-2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9.7378174330816747E-2</v>
      </c>
      <c r="M53" s="21">
        <f t="shared" si="2"/>
        <v>0.25407725321888414</v>
      </c>
      <c r="N53" s="24">
        <f t="shared" si="3"/>
        <v>0.91076323658033864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2.9873269085908174E-2</v>
      </c>
      <c r="G54" s="21">
        <f t="shared" si="2"/>
        <v>4.0120151495363715E-2</v>
      </c>
      <c r="H54" s="21">
        <f t="shared" si="2"/>
        <v>3.7500000000000006E-2</v>
      </c>
      <c r="I54" s="158" t="s">
        <v>24</v>
      </c>
      <c r="J54" s="21">
        <f t="shared" si="2"/>
        <v>0.1</v>
      </c>
      <c r="K54" s="21">
        <f t="shared" si="2"/>
        <v>0.25</v>
      </c>
      <c r="L54" s="21">
        <f t="shared" si="2"/>
        <v>0.1</v>
      </c>
      <c r="M54" s="21">
        <f t="shared" si="2"/>
        <v>0.2757575757575757</v>
      </c>
      <c r="N54" s="24">
        <f t="shared" si="3"/>
        <v>0.88325099633884752</v>
      </c>
    </row>
    <row r="59" spans="2:14" x14ac:dyDescent="0.25">
      <c r="B59" s="28" t="s">
        <v>1</v>
      </c>
      <c r="C59" s="28" t="s">
        <v>32</v>
      </c>
      <c r="D59" s="156" t="s">
        <v>189</v>
      </c>
      <c r="E59" s="20" t="s">
        <v>142</v>
      </c>
    </row>
    <row r="60" spans="2:14" x14ac:dyDescent="0.25">
      <c r="B60" s="23" t="s">
        <v>13</v>
      </c>
      <c r="C60" s="16">
        <v>0.98980082279753345</v>
      </c>
      <c r="D60" s="27">
        <f>VLOOKUP(B60,$B$39:$N$54,$N$38,FALSE)</f>
        <v>0.99764303885845651</v>
      </c>
      <c r="E60" s="27">
        <f>VLOOKUP(B60,'OR AUG'!$B$2:$D$37,'OR AUG'!$D$1,FALSE)</f>
        <v>0.27055150884495316</v>
      </c>
    </row>
    <row r="61" spans="2:14" x14ac:dyDescent="0.25">
      <c r="B61" s="23" t="s">
        <v>15</v>
      </c>
      <c r="C61" s="16">
        <v>1</v>
      </c>
      <c r="D61" s="27">
        <f t="shared" ref="D61:D73" si="4">VLOOKUP(B61,$B$39:$N$54,$N$38,FALSE)</f>
        <v>0.98750000000000004</v>
      </c>
      <c r="E61" s="27">
        <f>VLOOKUP(B61,'OR AUG'!$B$2:$D$37,'OR AUG'!$D$1,FALSE)</f>
        <v>0.13185383814936363</v>
      </c>
    </row>
    <row r="62" spans="2:14" x14ac:dyDescent="0.25">
      <c r="B62" s="23" t="s">
        <v>16</v>
      </c>
      <c r="C62" s="16">
        <v>0.96686117474328959</v>
      </c>
      <c r="D62" s="27">
        <f t="shared" si="4"/>
        <v>0.99077203943964554</v>
      </c>
      <c r="E62" s="27">
        <f>VLOOKUP(B62,'OR AUG'!$B$2:$D$37,'OR AUG'!$D$1,FALSE)</f>
        <v>3.7220843672456573E-2</v>
      </c>
    </row>
    <row r="63" spans="2:14" x14ac:dyDescent="0.25">
      <c r="B63" s="23" t="s">
        <v>17</v>
      </c>
      <c r="C63" s="16">
        <v>0.91</v>
      </c>
      <c r="D63" s="27">
        <f t="shared" si="4"/>
        <v>0.92548400350983284</v>
      </c>
      <c r="E63" s="27">
        <f>VLOOKUP(B63,'OR AUG'!$B$2:$D$37,'OR AUG'!$D$1,FALSE)</f>
        <v>4.7706715760826066E-2</v>
      </c>
    </row>
    <row r="64" spans="2:14" x14ac:dyDescent="0.25">
      <c r="B64" s="23" t="s">
        <v>18</v>
      </c>
      <c r="C64" s="16">
        <v>0.93110470401828627</v>
      </c>
      <c r="D64" s="27">
        <f t="shared" si="4"/>
        <v>0.97144948755490479</v>
      </c>
      <c r="E64" s="27">
        <f>VLOOKUP(B64,'OR AUG'!$B$2:$D$37,'OR AUG'!$D$1,FALSE)</f>
        <v>3.7180821259905544E-2</v>
      </c>
    </row>
    <row r="65" spans="2:5" x14ac:dyDescent="0.25">
      <c r="B65" s="23" t="s">
        <v>19</v>
      </c>
      <c r="C65" s="16">
        <v>0.97207402616838423</v>
      </c>
      <c r="D65" s="27">
        <f t="shared" si="4"/>
        <v>0.9497604076669548</v>
      </c>
      <c r="E65" s="27">
        <f>VLOOKUP(B65,'OR AUG'!$B$2:$D$37,'OR AUG'!$D$1,FALSE)</f>
        <v>4.4685023613223407E-2</v>
      </c>
    </row>
    <row r="66" spans="2:5" x14ac:dyDescent="0.25">
      <c r="B66" s="23" t="s">
        <v>20</v>
      </c>
      <c r="C66" s="16">
        <v>0.97973452294246177</v>
      </c>
      <c r="D66" s="27">
        <f t="shared" si="4"/>
        <v>0.95652746568875613</v>
      </c>
      <c r="E66" s="27">
        <f>VLOOKUP(B66,'OR AUG'!$B$2:$D$37,'OR AUG'!$D$1,FALSE)</f>
        <v>5.0408228608020494E-2</v>
      </c>
    </row>
    <row r="67" spans="2:5" x14ac:dyDescent="0.25">
      <c r="B67" s="23" t="s">
        <v>21</v>
      </c>
      <c r="C67" s="16">
        <v>0.93991571983947841</v>
      </c>
      <c r="D67" s="27">
        <f t="shared" si="4"/>
        <v>0.9500692379909248</v>
      </c>
      <c r="E67" s="27">
        <f>VLOOKUP(B67,'OR AUG'!$B$2:$D$37,'OR AUG'!$D$1,FALSE)</f>
        <v>2.3533178580004803E-2</v>
      </c>
    </row>
    <row r="68" spans="2:5" x14ac:dyDescent="0.25">
      <c r="B68" s="23" t="s">
        <v>22</v>
      </c>
      <c r="C68" s="16">
        <v>0.94524218314862185</v>
      </c>
      <c r="D68" s="27">
        <f t="shared" si="4"/>
        <v>0.95943321962739436</v>
      </c>
      <c r="E68" s="27">
        <f>VLOOKUP(B68,'OR AUG'!$B$2:$D$37,'OR AUG'!$D$1,FALSE)</f>
        <v>4.2563835748018891E-2</v>
      </c>
    </row>
    <row r="69" spans="2:5" x14ac:dyDescent="0.25">
      <c r="B69" s="23" t="s">
        <v>23</v>
      </c>
      <c r="C69" s="16">
        <v>0.91500000000000004</v>
      </c>
      <c r="D69" s="27">
        <f t="shared" si="4"/>
        <v>0.95438831299235616</v>
      </c>
      <c r="E69" s="27">
        <f>VLOOKUP(B69,'OR AUG'!$B$2:$D$37,'OR AUG'!$D$1,FALSE)</f>
        <v>4.8407107980469065E-2</v>
      </c>
    </row>
    <row r="70" spans="2:5" x14ac:dyDescent="0.25">
      <c r="B70" s="23" t="s">
        <v>25</v>
      </c>
      <c r="C70" s="16">
        <v>0.99989690721649493</v>
      </c>
      <c r="D70" s="27">
        <f t="shared" si="4"/>
        <v>0.87759046995788326</v>
      </c>
      <c r="E70" s="27">
        <f>VLOOKUP(B70,'OR AUG'!$B$2:$D$37,'OR AUG'!$D$1,FALSE)</f>
        <v>4.928760105659169E-2</v>
      </c>
    </row>
    <row r="71" spans="2:5" x14ac:dyDescent="0.25">
      <c r="B71" s="23" t="s">
        <v>26</v>
      </c>
      <c r="C71" s="16">
        <v>0.9</v>
      </c>
      <c r="D71" s="27">
        <f t="shared" si="4"/>
        <v>0.93042741372390758</v>
      </c>
      <c r="E71" s="27">
        <f>VLOOKUP(B71,'OR AUG'!$B$2:$D$37,'OR AUG'!$D$1,FALSE)</f>
        <v>2.1512046746177859E-2</v>
      </c>
    </row>
    <row r="72" spans="2:5" x14ac:dyDescent="0.25">
      <c r="B72" s="23" t="s">
        <v>33</v>
      </c>
      <c r="C72" s="16">
        <v>0.63392386477602281</v>
      </c>
      <c r="D72" s="27">
        <f t="shared" si="4"/>
        <v>0.91076323658033864</v>
      </c>
      <c r="E72" s="27">
        <f>VLOOKUP(B72,'OR AUG'!$B$2:$D$37,'OR AUG'!$D$1,FALSE)</f>
        <v>2.9836708556791804E-2</v>
      </c>
    </row>
    <row r="73" spans="2:5" x14ac:dyDescent="0.25">
      <c r="B73" s="23" t="s">
        <v>85</v>
      </c>
      <c r="C73" s="16">
        <v>0.48232272019195277</v>
      </c>
      <c r="D73" s="27">
        <f t="shared" si="4"/>
        <v>0.88325099633884752</v>
      </c>
      <c r="E73" s="27">
        <f>VLOOKUP(B73,'OR AUG'!$B$2:$D$37,'OR AUG'!$D$1,FALSE)</f>
        <v>1.264708236612503E-2</v>
      </c>
    </row>
  </sheetData>
  <mergeCells count="20">
    <mergeCell ref="AF10:AG10"/>
    <mergeCell ref="AH12:AI12"/>
    <mergeCell ref="AF12:AG12"/>
    <mergeCell ref="AD12:AE12"/>
    <mergeCell ref="AI4:AI5"/>
    <mergeCell ref="AJ4:AJ5"/>
    <mergeCell ref="AK4:AK5"/>
    <mergeCell ref="AH9:AI9"/>
    <mergeCell ref="AF9:AG9"/>
    <mergeCell ref="AD9:AE9"/>
    <mergeCell ref="AD4:AD5"/>
    <mergeCell ref="AE4:AE5"/>
    <mergeCell ref="AF4:AF5"/>
    <mergeCell ref="AG4:AG5"/>
    <mergeCell ref="AH4:AH5"/>
    <mergeCell ref="AD3:AE3"/>
    <mergeCell ref="AF3:AG3"/>
    <mergeCell ref="AH3:AI3"/>
    <mergeCell ref="AJ3:AK3"/>
    <mergeCell ref="AL3:AM3"/>
  </mergeCells>
  <conditionalFormatting sqref="C4:M18">
    <cfRule type="cellIs" dxfId="78" priority="11" operator="lessThan">
      <formula>1</formula>
    </cfRule>
  </conditionalFormatting>
  <conditionalFormatting sqref="N40:N54">
    <cfRule type="cellIs" dxfId="77" priority="12" operator="lessThan">
      <formula>0.9</formula>
    </cfRule>
  </conditionalFormatting>
  <conditionalFormatting sqref="AD4">
    <cfRule type="iconSet" priority="10">
      <iconSet showValue="0">
        <cfvo type="percent" val="0"/>
        <cfvo type="num" val="2"/>
        <cfvo type="num" val="3"/>
      </iconSet>
    </cfRule>
  </conditionalFormatting>
  <conditionalFormatting sqref="AD10">
    <cfRule type="iconSet" priority="5">
      <iconSet showValue="0">
        <cfvo type="percent" val="0"/>
        <cfvo type="num" val="2"/>
        <cfvo type="num" val="3"/>
      </iconSet>
    </cfRule>
  </conditionalFormatting>
  <conditionalFormatting sqref="AD13">
    <cfRule type="iconSet" priority="1">
      <iconSet showValue="0">
        <cfvo type="percent" val="0"/>
        <cfvo type="num" val="2"/>
        <cfvo type="num" val="3"/>
      </iconSet>
    </cfRule>
  </conditionalFormatting>
  <conditionalFormatting sqref="AF4">
    <cfRule type="iconSet" priority="9">
      <iconSet showValue="0">
        <cfvo type="percent" val="0"/>
        <cfvo type="num" val="2"/>
        <cfvo type="num" val="3"/>
      </iconSet>
    </cfRule>
  </conditionalFormatting>
  <conditionalFormatting sqref="AF13">
    <cfRule type="iconSet" priority="3">
      <iconSet showValue="0">
        <cfvo type="percent" val="0"/>
        <cfvo type="num" val="2"/>
        <cfvo type="num" val="3"/>
      </iconSet>
    </cfRule>
  </conditionalFormatting>
  <conditionalFormatting sqref="AH4">
    <cfRule type="iconSet" priority="8">
      <iconSet showValue="0">
        <cfvo type="percent" val="0"/>
        <cfvo type="num" val="2"/>
        <cfvo type="num" val="3"/>
      </iconSet>
    </cfRule>
  </conditionalFormatting>
  <conditionalFormatting sqref="AH10">
    <cfRule type="iconSet" priority="4">
      <iconSet showValue="0">
        <cfvo type="percent" val="0"/>
        <cfvo type="num" val="2"/>
        <cfvo type="num" val="3"/>
      </iconSet>
    </cfRule>
  </conditionalFormatting>
  <conditionalFormatting sqref="AH13">
    <cfRule type="iconSet" priority="2">
      <iconSet showValue="0">
        <cfvo type="percent" val="0"/>
        <cfvo type="num" val="2"/>
        <cfvo type="num" val="3"/>
      </iconSet>
    </cfRule>
  </conditionalFormatting>
  <conditionalFormatting sqref="AJ4">
    <cfRule type="iconSet" priority="7">
      <iconSet showValue="0">
        <cfvo type="percent" val="0"/>
        <cfvo type="num" val="2"/>
        <cfvo type="num" val="3"/>
      </iconSet>
    </cfRule>
  </conditionalFormatting>
  <conditionalFormatting sqref="AL4:AL5">
    <cfRule type="iconSet" priority="6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62E5-2EC0-4591-B1DD-6159405C386D}">
  <sheetPr codeName="Hoja7"/>
  <dimension ref="B2:AL78"/>
  <sheetViews>
    <sheetView topLeftCell="L1" zoomScaleNormal="100" workbookViewId="0">
      <selection activeCell="C42" sqref="C42"/>
    </sheetView>
  </sheetViews>
  <sheetFormatPr baseColWidth="10" defaultColWidth="8.85546875" defaultRowHeight="15" x14ac:dyDescent="0.25"/>
  <cols>
    <col min="1" max="1" width="5.28515625" customWidth="1"/>
    <col min="2" max="2" width="13.7109375" customWidth="1"/>
    <col min="3" max="3" width="10.28515625" customWidth="1"/>
    <col min="4" max="4" width="10.5703125" customWidth="1"/>
    <col min="5" max="5" width="10.7109375" customWidth="1"/>
    <col min="8" max="8" width="11.5703125" customWidth="1"/>
    <col min="11" max="11" width="10.28515625" customWidth="1"/>
    <col min="12" max="13" width="11.28515625" customWidth="1"/>
    <col min="17" max="17" width="10" customWidth="1"/>
    <col min="19" max="19" width="10.42578125" customWidth="1"/>
    <col min="25" max="25" width="8.5703125" customWidth="1"/>
    <col min="26" max="26" width="8.7109375" customWidth="1"/>
    <col min="34" max="34" width="12.5703125" customWidth="1"/>
    <col min="37" max="38" width="11.5703125" customWidth="1"/>
  </cols>
  <sheetData>
    <row r="2" spans="2:38" x14ac:dyDescent="0.25">
      <c r="C2" s="181" t="s">
        <v>143</v>
      </c>
      <c r="D2" s="182" t="s">
        <v>2</v>
      </c>
      <c r="E2" s="181" t="s">
        <v>190</v>
      </c>
      <c r="F2" s="181" t="s">
        <v>145</v>
      </c>
      <c r="G2" s="182" t="s">
        <v>3</v>
      </c>
      <c r="H2" s="181" t="s">
        <v>190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W2" t="s">
        <v>182</v>
      </c>
      <c r="AB2" t="s">
        <v>43</v>
      </c>
      <c r="AG2" t="s">
        <v>5</v>
      </c>
      <c r="AK2" t="s">
        <v>12</v>
      </c>
    </row>
    <row r="3" spans="2:38" ht="21.6" customHeight="1" thickBot="1" x14ac:dyDescent="0.3">
      <c r="B3" s="89" t="s">
        <v>13</v>
      </c>
      <c r="C3" s="16">
        <v>0.78</v>
      </c>
      <c r="D3" s="95">
        <v>0.78800000000000003</v>
      </c>
      <c r="E3" s="157">
        <f>D3/C3</f>
        <v>1.0102564102564102</v>
      </c>
      <c r="F3" s="16">
        <v>0.92</v>
      </c>
      <c r="G3" s="128">
        <v>0.95599999999999996</v>
      </c>
      <c r="H3" s="157">
        <f>G3/F3</f>
        <v>1.0391304347826087</v>
      </c>
      <c r="J3" s="263" t="s">
        <v>34</v>
      </c>
      <c r="K3" s="263" t="s">
        <v>35</v>
      </c>
      <c r="L3" s="263" t="s">
        <v>191</v>
      </c>
      <c r="M3" s="263" t="s">
        <v>10</v>
      </c>
      <c r="N3" s="265" t="s">
        <v>89</v>
      </c>
      <c r="O3" s="265" t="s">
        <v>90</v>
      </c>
      <c r="P3" s="263" t="s">
        <v>11</v>
      </c>
      <c r="Q3" s="265" t="s">
        <v>97</v>
      </c>
      <c r="R3" s="265" t="s">
        <v>93</v>
      </c>
      <c r="S3" s="265" t="s">
        <v>97</v>
      </c>
      <c r="T3" s="265" t="s">
        <v>93</v>
      </c>
      <c r="W3">
        <v>1</v>
      </c>
      <c r="X3">
        <v>2</v>
      </c>
      <c r="Y3">
        <v>3</v>
      </c>
      <c r="Z3">
        <v>4</v>
      </c>
      <c r="AB3">
        <v>1</v>
      </c>
      <c r="AC3">
        <v>2</v>
      </c>
      <c r="AG3">
        <v>1</v>
      </c>
      <c r="AH3">
        <v>2</v>
      </c>
      <c r="AK3">
        <v>1</v>
      </c>
      <c r="AL3">
        <v>2</v>
      </c>
    </row>
    <row r="4" spans="2:38" ht="15.75" thickBot="1" x14ac:dyDescent="0.3">
      <c r="B4" s="89" t="s">
        <v>15</v>
      </c>
      <c r="C4" s="16">
        <v>0.92</v>
      </c>
      <c r="D4" s="95">
        <v>0.95499999999999996</v>
      </c>
      <c r="E4" s="157">
        <f t="shared" ref="E4:E16" si="0">D4/C4</f>
        <v>1.0380434782608694</v>
      </c>
      <c r="F4" s="16">
        <v>0.92</v>
      </c>
      <c r="G4" s="128">
        <v>0.93400000000000005</v>
      </c>
      <c r="H4" s="157">
        <f t="shared" ref="H4:H16" si="1">G4/F4</f>
        <v>1.0152173913043478</v>
      </c>
      <c r="J4" s="264"/>
      <c r="K4" s="264"/>
      <c r="L4" s="264"/>
      <c r="M4" s="264"/>
      <c r="N4" s="266"/>
      <c r="O4" s="266"/>
      <c r="P4" s="264"/>
      <c r="Q4" s="266"/>
      <c r="R4" s="266"/>
      <c r="S4" s="266"/>
      <c r="T4" s="266"/>
      <c r="W4" s="192" t="s">
        <v>34</v>
      </c>
      <c r="X4" s="161" t="s">
        <v>103</v>
      </c>
      <c r="Y4" s="161" t="s">
        <v>192</v>
      </c>
      <c r="Z4" s="161" t="s">
        <v>190</v>
      </c>
      <c r="AB4" s="161" t="s">
        <v>193</v>
      </c>
      <c r="AC4" s="161" t="s">
        <v>194</v>
      </c>
      <c r="AG4" s="196" t="s">
        <v>1</v>
      </c>
      <c r="AH4" s="195" t="s">
        <v>195</v>
      </c>
      <c r="AK4" s="23" t="s">
        <v>193</v>
      </c>
      <c r="AL4" s="23" t="s">
        <v>57</v>
      </c>
    </row>
    <row r="5" spans="2:38" ht="15.75" thickBot="1" x14ac:dyDescent="0.3">
      <c r="B5" s="89" t="s">
        <v>16</v>
      </c>
      <c r="C5" s="16">
        <v>0.85</v>
      </c>
      <c r="D5" s="95">
        <v>0.873</v>
      </c>
      <c r="E5" s="157">
        <f t="shared" si="0"/>
        <v>1.0270588235294118</v>
      </c>
      <c r="F5" s="16">
        <v>0.94</v>
      </c>
      <c r="G5" s="128">
        <v>0.97399999999999998</v>
      </c>
      <c r="H5" s="157">
        <f t="shared" si="1"/>
        <v>1.0361702127659576</v>
      </c>
      <c r="J5" s="2" t="s">
        <v>13</v>
      </c>
      <c r="K5" s="4">
        <v>8979203</v>
      </c>
      <c r="L5" s="4">
        <v>8869275</v>
      </c>
      <c r="M5" s="188">
        <f>L5/K5</f>
        <v>0.98775748805322705</v>
      </c>
      <c r="N5" s="5">
        <v>1</v>
      </c>
      <c r="O5" s="5">
        <v>1.04</v>
      </c>
      <c r="P5" s="189">
        <f>O5/N5</f>
        <v>1.04</v>
      </c>
      <c r="Q5" s="4">
        <v>72344</v>
      </c>
      <c r="R5" s="4">
        <v>72403</v>
      </c>
      <c r="S5" s="4">
        <v>75607</v>
      </c>
      <c r="T5" s="4">
        <v>72403</v>
      </c>
      <c r="W5" s="35" t="s">
        <v>16</v>
      </c>
      <c r="X5" s="27">
        <v>0.37359413202933978</v>
      </c>
      <c r="Y5" s="27">
        <v>0.65721271393643033</v>
      </c>
      <c r="Z5" s="30">
        <f>Y5/X5</f>
        <v>1.7591623036649218</v>
      </c>
      <c r="AB5" s="161" t="s">
        <v>26</v>
      </c>
      <c r="AC5" s="97">
        <v>1</v>
      </c>
      <c r="AG5" s="139" t="s">
        <v>13</v>
      </c>
      <c r="AH5" s="27">
        <v>0.95243015506856332</v>
      </c>
      <c r="AK5" s="155" t="s">
        <v>13</v>
      </c>
      <c r="AL5" s="27">
        <v>1.1050603217158177</v>
      </c>
    </row>
    <row r="6" spans="2:38" ht="15.75" thickBot="1" x14ac:dyDescent="0.3">
      <c r="B6" s="89" t="s">
        <v>17</v>
      </c>
      <c r="C6" s="16">
        <v>0.86</v>
      </c>
      <c r="D6" s="95">
        <v>0.879</v>
      </c>
      <c r="E6" s="157">
        <f t="shared" si="0"/>
        <v>1.0220930232558141</v>
      </c>
      <c r="F6" s="16">
        <v>0.9</v>
      </c>
      <c r="G6" s="128">
        <v>0.98</v>
      </c>
      <c r="H6" s="157">
        <f t="shared" si="1"/>
        <v>1.0888888888888888</v>
      </c>
      <c r="J6" s="3" t="s">
        <v>26</v>
      </c>
      <c r="K6" s="4">
        <v>1045143</v>
      </c>
      <c r="L6" s="4">
        <v>758681</v>
      </c>
      <c r="M6" s="188">
        <f t="shared" ref="M6:M36" si="2">L6/K6</f>
        <v>0.72591119110016522</v>
      </c>
      <c r="N6" s="5">
        <v>0.86</v>
      </c>
      <c r="O6" s="5">
        <v>0.81</v>
      </c>
      <c r="P6" s="189">
        <f t="shared" ref="P6:P36" si="3">O6/N6</f>
        <v>0.94186046511627919</v>
      </c>
      <c r="Q6" s="4">
        <v>8334</v>
      </c>
      <c r="R6" s="4">
        <v>9735</v>
      </c>
      <c r="S6" s="4">
        <v>7838</v>
      </c>
      <c r="T6" s="4">
        <v>9735</v>
      </c>
      <c r="W6" s="35" t="s">
        <v>15</v>
      </c>
      <c r="X6" s="27">
        <v>0.40206933414783147</v>
      </c>
      <c r="Y6" s="27">
        <v>0.54276114844227241</v>
      </c>
      <c r="Z6" s="30">
        <f t="shared" ref="Z6:Z20" si="4">Y6/X6</f>
        <v>1.3499192859177662</v>
      </c>
      <c r="AB6" s="181" t="s">
        <v>18</v>
      </c>
      <c r="AC6" s="97">
        <v>1</v>
      </c>
      <c r="AG6" s="140" t="s">
        <v>14</v>
      </c>
      <c r="AH6" s="27">
        <v>0</v>
      </c>
      <c r="AK6" s="155" t="s">
        <v>15</v>
      </c>
      <c r="AL6" s="27">
        <v>1.0218516388729155</v>
      </c>
    </row>
    <row r="7" spans="2:38" ht="15.75" thickBot="1" x14ac:dyDescent="0.3">
      <c r="B7" s="89" t="s">
        <v>14</v>
      </c>
      <c r="C7" s="16">
        <v>0.82</v>
      </c>
      <c r="D7" s="95">
        <v>0.84199999999999997</v>
      </c>
      <c r="E7" s="157">
        <f t="shared" si="0"/>
        <v>1.026829268292683</v>
      </c>
      <c r="F7" s="16">
        <v>0.91</v>
      </c>
      <c r="G7" s="128">
        <v>0.92</v>
      </c>
      <c r="H7" s="157">
        <f t="shared" si="1"/>
        <v>1.0109890109890109</v>
      </c>
      <c r="J7" s="3" t="s">
        <v>16</v>
      </c>
      <c r="K7" s="4">
        <v>2029052</v>
      </c>
      <c r="L7" s="4">
        <v>1964033</v>
      </c>
      <c r="M7" s="188">
        <f t="shared" si="2"/>
        <v>0.96795597155716073</v>
      </c>
      <c r="N7" s="5">
        <v>1.03</v>
      </c>
      <c r="O7" s="5">
        <v>1.04</v>
      </c>
      <c r="P7" s="189">
        <f t="shared" si="3"/>
        <v>1.0097087378640777</v>
      </c>
      <c r="Q7" s="4">
        <v>14389</v>
      </c>
      <c r="R7" s="4">
        <v>13909</v>
      </c>
      <c r="S7" s="4">
        <v>14404</v>
      </c>
      <c r="T7" s="4">
        <v>13909</v>
      </c>
      <c r="W7" s="35" t="s">
        <v>18</v>
      </c>
      <c r="X7" s="27">
        <v>0.38670935029219661</v>
      </c>
      <c r="Y7" s="27">
        <v>0.41010656583018218</v>
      </c>
      <c r="Z7" s="30">
        <f t="shared" si="4"/>
        <v>1.0605033612978498</v>
      </c>
      <c r="AB7" s="181" t="s">
        <v>25</v>
      </c>
      <c r="AC7" s="87">
        <v>0.4</v>
      </c>
      <c r="AG7" s="140" t="s">
        <v>15</v>
      </c>
      <c r="AH7" s="27">
        <v>1.1047092270853816</v>
      </c>
      <c r="AK7" s="155" t="s">
        <v>14</v>
      </c>
      <c r="AL7" s="27">
        <v>0.8411837237977805</v>
      </c>
    </row>
    <row r="8" spans="2:38" ht="15.75" thickBot="1" x14ac:dyDescent="0.3">
      <c r="B8" s="89" t="s">
        <v>18</v>
      </c>
      <c r="C8" s="16">
        <v>0.94</v>
      </c>
      <c r="D8" s="95">
        <v>0.99399999999999999</v>
      </c>
      <c r="E8" s="157">
        <f t="shared" si="0"/>
        <v>1.0574468085106383</v>
      </c>
      <c r="F8" s="16">
        <v>0.95</v>
      </c>
      <c r="G8" s="128">
        <v>0.98799999999999999</v>
      </c>
      <c r="H8" s="157">
        <f t="shared" si="1"/>
        <v>1.04</v>
      </c>
      <c r="J8" s="3" t="s">
        <v>25</v>
      </c>
      <c r="K8" s="4">
        <v>2074613</v>
      </c>
      <c r="L8" s="4">
        <v>1776487</v>
      </c>
      <c r="M8" s="188">
        <f t="shared" si="2"/>
        <v>0.85629801799178928</v>
      </c>
      <c r="N8" s="5">
        <v>1.27</v>
      </c>
      <c r="O8" s="5">
        <v>1.56</v>
      </c>
      <c r="P8" s="189">
        <f t="shared" si="3"/>
        <v>1.2283464566929134</v>
      </c>
      <c r="Q8" s="4">
        <v>9186</v>
      </c>
      <c r="R8" s="4">
        <v>7230</v>
      </c>
      <c r="S8" s="4">
        <v>11263</v>
      </c>
      <c r="T8" s="4">
        <v>7230</v>
      </c>
      <c r="W8" s="35" t="s">
        <v>13</v>
      </c>
      <c r="X8" s="27">
        <v>0.55988951276942556</v>
      </c>
      <c r="Y8" s="27">
        <v>0.61320412968665094</v>
      </c>
      <c r="Z8" s="30">
        <f t="shared" si="4"/>
        <v>1.0952234605244009</v>
      </c>
      <c r="AB8" s="181" t="s">
        <v>16</v>
      </c>
      <c r="AC8" s="87">
        <v>1</v>
      </c>
      <c r="AG8" s="140" t="s">
        <v>16</v>
      </c>
      <c r="AH8" s="27">
        <v>1.0382114210845874</v>
      </c>
      <c r="AK8" s="155" t="s">
        <v>20</v>
      </c>
      <c r="AL8" s="27">
        <v>0.96417445482866049</v>
      </c>
    </row>
    <row r="9" spans="2:38" ht="15.75" thickBot="1" x14ac:dyDescent="0.3">
      <c r="B9" s="90" t="s">
        <v>26</v>
      </c>
      <c r="C9" s="16">
        <v>0.85</v>
      </c>
      <c r="D9" s="95">
        <v>0.89600000000000002</v>
      </c>
      <c r="E9" s="157">
        <f t="shared" si="0"/>
        <v>1.0541176470588236</v>
      </c>
      <c r="F9" s="16">
        <v>0.87</v>
      </c>
      <c r="G9" s="128">
        <v>0.92800000000000005</v>
      </c>
      <c r="H9" s="157">
        <f t="shared" si="1"/>
        <v>1.0666666666666667</v>
      </c>
      <c r="J9" s="3" t="s">
        <v>18</v>
      </c>
      <c r="K9" s="4">
        <v>1354889</v>
      </c>
      <c r="L9" s="4">
        <v>1422188</v>
      </c>
      <c r="M9" s="188">
        <f t="shared" si="2"/>
        <v>1.0496712276799058</v>
      </c>
      <c r="N9" s="5">
        <v>0.85</v>
      </c>
      <c r="O9" s="5">
        <v>0.85</v>
      </c>
      <c r="P9" s="189">
        <f t="shared" si="3"/>
        <v>1</v>
      </c>
      <c r="Q9" s="4">
        <v>9866</v>
      </c>
      <c r="R9" s="4">
        <v>11616</v>
      </c>
      <c r="S9" s="4">
        <v>9816</v>
      </c>
      <c r="T9" s="4">
        <v>11616</v>
      </c>
      <c r="W9" s="35" t="s">
        <v>14</v>
      </c>
      <c r="X9" s="27">
        <v>0.39918108831400534</v>
      </c>
      <c r="Y9" s="27">
        <v>0.42694023193577163</v>
      </c>
      <c r="Z9" s="30">
        <f t="shared" si="4"/>
        <v>1.0695402273164061</v>
      </c>
      <c r="AB9" s="181" t="s">
        <v>13</v>
      </c>
      <c r="AC9" s="87">
        <v>1</v>
      </c>
      <c r="AG9" s="140" t="s">
        <v>17</v>
      </c>
      <c r="AH9" s="27">
        <v>1.0886912904696762</v>
      </c>
      <c r="AK9" s="155" t="s">
        <v>19</v>
      </c>
      <c r="AL9" s="27">
        <v>0.88020833333333337</v>
      </c>
    </row>
    <row r="10" spans="2:38" ht="15.75" thickBot="1" x14ac:dyDescent="0.3">
      <c r="B10" s="90" t="s">
        <v>19</v>
      </c>
      <c r="C10" s="16">
        <v>0.7</v>
      </c>
      <c r="D10" s="95">
        <v>0.746</v>
      </c>
      <c r="E10" s="157">
        <f t="shared" si="0"/>
        <v>1.0657142857142858</v>
      </c>
      <c r="F10" s="16">
        <v>0.83</v>
      </c>
      <c r="G10" s="128">
        <v>0.94399999999999995</v>
      </c>
      <c r="H10" s="157">
        <f t="shared" si="1"/>
        <v>1.1373493975903615</v>
      </c>
      <c r="J10" s="3" t="s">
        <v>66</v>
      </c>
      <c r="K10" s="5"/>
      <c r="L10" s="5"/>
      <c r="M10" s="188"/>
      <c r="N10" s="5">
        <v>1.03</v>
      </c>
      <c r="O10" s="5">
        <v>1.32</v>
      </c>
      <c r="P10" s="189">
        <f t="shared" si="3"/>
        <v>1.2815533980582525</v>
      </c>
      <c r="Q10" s="5">
        <v>527</v>
      </c>
      <c r="R10" s="5">
        <v>514</v>
      </c>
      <c r="S10" s="5">
        <v>677</v>
      </c>
      <c r="T10" s="5">
        <v>514</v>
      </c>
      <c r="W10" s="35" t="s">
        <v>17</v>
      </c>
      <c r="X10" s="27">
        <v>0.54300736067297595</v>
      </c>
      <c r="Y10" s="27">
        <v>0.71503680336487907</v>
      </c>
      <c r="Z10" s="30">
        <f t="shared" si="4"/>
        <v>1.3168086754453909</v>
      </c>
      <c r="AB10" s="181" t="s">
        <v>15</v>
      </c>
      <c r="AC10" s="87">
        <v>1</v>
      </c>
      <c r="AG10" s="140" t="s">
        <v>18</v>
      </c>
      <c r="AH10" s="27">
        <v>0.99951652601969054</v>
      </c>
      <c r="AK10" s="155" t="s">
        <v>23</v>
      </c>
      <c r="AL10" s="27">
        <v>0.9027522935779817</v>
      </c>
    </row>
    <row r="11" spans="2:38" ht="15.75" thickBot="1" x14ac:dyDescent="0.3">
      <c r="B11" s="90" t="s">
        <v>23</v>
      </c>
      <c r="C11" s="16">
        <v>0.75</v>
      </c>
      <c r="D11" s="95">
        <v>0.76</v>
      </c>
      <c r="E11" s="157">
        <f t="shared" si="0"/>
        <v>1.0133333333333334</v>
      </c>
      <c r="F11" s="16">
        <v>0.83</v>
      </c>
      <c r="G11" s="128">
        <v>0.88200000000000001</v>
      </c>
      <c r="H11" s="157">
        <f t="shared" si="1"/>
        <v>1.0626506024096387</v>
      </c>
      <c r="J11" s="3" t="s">
        <v>68</v>
      </c>
      <c r="K11" s="5"/>
      <c r="L11" s="5">
        <v>831</v>
      </c>
      <c r="M11" s="188" t="e">
        <f t="shared" si="2"/>
        <v>#DIV/0!</v>
      </c>
      <c r="N11" s="5">
        <v>2.13</v>
      </c>
      <c r="O11" s="5">
        <v>1.32</v>
      </c>
      <c r="P11" s="189">
        <f t="shared" si="3"/>
        <v>0.61971830985915499</v>
      </c>
      <c r="Q11" s="4">
        <v>1544</v>
      </c>
      <c r="R11" s="5">
        <v>726</v>
      </c>
      <c r="S11" s="5">
        <v>959</v>
      </c>
      <c r="T11" s="5">
        <v>726</v>
      </c>
      <c r="W11" s="35" t="s">
        <v>26</v>
      </c>
      <c r="X11" s="27">
        <v>0.57692901234567906</v>
      </c>
      <c r="Y11" s="27">
        <v>0.53086419753086422</v>
      </c>
      <c r="Z11" s="30">
        <f t="shared" si="4"/>
        <v>0.92015514243680618</v>
      </c>
      <c r="AB11" s="181" t="s">
        <v>22</v>
      </c>
      <c r="AC11" s="87">
        <v>1</v>
      </c>
      <c r="AG11" s="140" t="s">
        <v>19</v>
      </c>
      <c r="AH11" s="27">
        <v>1.0679722394008107</v>
      </c>
      <c r="AK11" s="155" t="s">
        <v>17</v>
      </c>
      <c r="AL11" s="27">
        <v>0.86082949308755763</v>
      </c>
    </row>
    <row r="12" spans="2:38" ht="15.75" thickBot="1" x14ac:dyDescent="0.3">
      <c r="B12" s="90" t="s">
        <v>20</v>
      </c>
      <c r="C12" s="16">
        <v>0.7</v>
      </c>
      <c r="D12" s="95">
        <v>0.65800000000000003</v>
      </c>
      <c r="E12" s="157">
        <f t="shared" si="0"/>
        <v>0.94000000000000006</v>
      </c>
      <c r="F12" s="16">
        <v>0.83</v>
      </c>
      <c r="G12" s="128">
        <v>0.995</v>
      </c>
      <c r="H12" s="157">
        <f t="shared" si="1"/>
        <v>1.1987951807228916</v>
      </c>
      <c r="J12" s="3" t="s">
        <v>69</v>
      </c>
      <c r="K12" s="5"/>
      <c r="L12" s="5"/>
      <c r="M12" s="188"/>
      <c r="N12" s="5">
        <v>1.19</v>
      </c>
      <c r="O12" s="5" t="s">
        <v>67</v>
      </c>
      <c r="P12" s="189"/>
      <c r="Q12" s="5">
        <v>85</v>
      </c>
      <c r="R12" s="5">
        <v>71</v>
      </c>
      <c r="S12" s="5"/>
      <c r="T12" s="5">
        <v>71</v>
      </c>
      <c r="W12" s="35" t="s">
        <v>25</v>
      </c>
      <c r="X12" s="27">
        <v>0.61378299120234625</v>
      </c>
      <c r="Y12" s="27">
        <v>0.68768328445747806</v>
      </c>
      <c r="Z12" s="30">
        <f t="shared" si="4"/>
        <v>1.1204013377926418</v>
      </c>
      <c r="AB12" s="181" t="s">
        <v>17</v>
      </c>
      <c r="AC12" s="87">
        <v>1</v>
      </c>
      <c r="AG12" s="140" t="s">
        <v>20</v>
      </c>
      <c r="AH12" s="27">
        <v>1.0959733575537389</v>
      </c>
      <c r="AK12" s="155" t="s">
        <v>25</v>
      </c>
      <c r="AL12" s="27">
        <v>0.85110470701248797</v>
      </c>
    </row>
    <row r="13" spans="2:38" ht="15.75" thickBot="1" x14ac:dyDescent="0.3">
      <c r="B13" s="90" t="s">
        <v>21</v>
      </c>
      <c r="C13" s="16">
        <v>0.7</v>
      </c>
      <c r="D13" s="95">
        <v>0.57599999999999996</v>
      </c>
      <c r="E13" s="157">
        <f t="shared" si="0"/>
        <v>0.82285714285714284</v>
      </c>
      <c r="F13" s="16">
        <v>0.83</v>
      </c>
      <c r="G13" s="128">
        <v>0.90300000000000002</v>
      </c>
      <c r="H13" s="157">
        <f t="shared" si="1"/>
        <v>1.0879518072289158</v>
      </c>
      <c r="J13" s="3" t="s">
        <v>70</v>
      </c>
      <c r="K13" s="5"/>
      <c r="L13" s="5"/>
      <c r="M13" s="188"/>
      <c r="N13" s="5">
        <v>1.03</v>
      </c>
      <c r="O13" s="5">
        <v>0.26</v>
      </c>
      <c r="P13" s="189">
        <f t="shared" si="3"/>
        <v>0.25242718446601942</v>
      </c>
      <c r="Q13" s="5">
        <v>522</v>
      </c>
      <c r="R13" s="5">
        <v>508</v>
      </c>
      <c r="S13" s="5">
        <v>134</v>
      </c>
      <c r="T13" s="5">
        <v>508</v>
      </c>
      <c r="W13" s="35" t="s">
        <v>21</v>
      </c>
      <c r="X13" s="27">
        <v>0.5908415841584157</v>
      </c>
      <c r="Y13" s="27">
        <v>0.50990099009900991</v>
      </c>
      <c r="Z13" s="30">
        <f t="shared" si="4"/>
        <v>0.8630079597821535</v>
      </c>
      <c r="AB13" s="181" t="s">
        <v>23</v>
      </c>
      <c r="AC13" s="87">
        <v>1</v>
      </c>
      <c r="AG13" s="140" t="s">
        <v>21</v>
      </c>
      <c r="AH13" s="27">
        <v>0.95610746641674482</v>
      </c>
      <c r="AK13" s="155" t="s">
        <v>22</v>
      </c>
      <c r="AL13" s="27">
        <v>0.849705304518664</v>
      </c>
    </row>
    <row r="14" spans="2:38" ht="15.75" thickBot="1" x14ac:dyDescent="0.3">
      <c r="B14" s="90" t="s">
        <v>25</v>
      </c>
      <c r="C14" s="16">
        <v>0.84</v>
      </c>
      <c r="D14" s="95">
        <v>0.90800000000000003</v>
      </c>
      <c r="E14" s="157">
        <f t="shared" si="0"/>
        <v>1.0809523809523811</v>
      </c>
      <c r="F14" s="16">
        <v>0.9</v>
      </c>
      <c r="G14" s="128">
        <v>0.95299999999999996</v>
      </c>
      <c r="H14" s="157">
        <f t="shared" si="1"/>
        <v>1.0588888888888888</v>
      </c>
      <c r="J14" s="3" t="s">
        <v>71</v>
      </c>
      <c r="K14" s="5"/>
      <c r="L14" s="5"/>
      <c r="M14" s="188"/>
      <c r="N14" s="5">
        <v>1.03</v>
      </c>
      <c r="O14" s="5" t="s">
        <v>67</v>
      </c>
      <c r="P14" s="189"/>
      <c r="Q14" s="5">
        <v>227</v>
      </c>
      <c r="R14" s="5">
        <v>220</v>
      </c>
      <c r="S14" s="5"/>
      <c r="T14" s="5">
        <v>220</v>
      </c>
      <c r="W14" s="35" t="s">
        <v>19</v>
      </c>
      <c r="X14" s="27">
        <v>0.51340579710144907</v>
      </c>
      <c r="Y14" s="27">
        <v>0.53623188405797106</v>
      </c>
      <c r="Z14" s="30">
        <f t="shared" si="4"/>
        <v>1.0444601270289349</v>
      </c>
      <c r="AB14" s="181" t="s">
        <v>14</v>
      </c>
      <c r="AC14" s="87">
        <v>1</v>
      </c>
      <c r="AG14" s="140" t="s">
        <v>22</v>
      </c>
      <c r="AH14" s="27">
        <v>1.1111111111111112</v>
      </c>
      <c r="AK14" s="155" t="s">
        <v>16</v>
      </c>
      <c r="AL14" s="27">
        <v>1.0222513089005236</v>
      </c>
    </row>
    <row r="15" spans="2:38" ht="15.75" thickBot="1" x14ac:dyDescent="0.3">
      <c r="B15" s="90" t="s">
        <v>22</v>
      </c>
      <c r="C15" s="16">
        <v>0.7</v>
      </c>
      <c r="D15" s="95">
        <v>0.76100000000000001</v>
      </c>
      <c r="E15" s="157">
        <f t="shared" si="0"/>
        <v>1.0871428571428572</v>
      </c>
      <c r="F15" s="16">
        <v>0.88</v>
      </c>
      <c r="G15" s="128">
        <v>0.95599999999999996</v>
      </c>
      <c r="H15" s="157">
        <f t="shared" si="1"/>
        <v>1.0863636363636364</v>
      </c>
      <c r="J15" s="3" t="s">
        <v>72</v>
      </c>
      <c r="K15" s="5"/>
      <c r="L15" s="5"/>
      <c r="M15" s="188"/>
      <c r="N15" s="5">
        <v>1.02</v>
      </c>
      <c r="O15" s="5">
        <v>2.4</v>
      </c>
      <c r="P15" s="189">
        <f t="shared" si="3"/>
        <v>2.3529411764705883</v>
      </c>
      <c r="Q15" s="5">
        <v>234</v>
      </c>
      <c r="R15" s="5">
        <v>228</v>
      </c>
      <c r="S15" s="5">
        <v>549</v>
      </c>
      <c r="T15" s="5">
        <v>228</v>
      </c>
      <c r="W15" s="35" t="s">
        <v>23</v>
      </c>
      <c r="X15" s="27">
        <v>0.45523529411764718</v>
      </c>
      <c r="Y15" s="27">
        <v>0.46352941176470586</v>
      </c>
      <c r="Z15" s="30">
        <f t="shared" si="4"/>
        <v>1.0182194081922726</v>
      </c>
      <c r="AB15" s="181" t="s">
        <v>21</v>
      </c>
      <c r="AC15" s="87">
        <v>1</v>
      </c>
      <c r="AG15" s="140" t="s">
        <v>23</v>
      </c>
      <c r="AH15" s="27">
        <v>0.96594982078853042</v>
      </c>
      <c r="AK15" s="155" t="s">
        <v>18</v>
      </c>
      <c r="AL15" s="27">
        <v>0.74317492416582409</v>
      </c>
    </row>
    <row r="16" spans="2:38" ht="15.75" thickBot="1" x14ac:dyDescent="0.3">
      <c r="B16" s="90" t="s">
        <v>76</v>
      </c>
      <c r="C16" s="16">
        <v>0.7</v>
      </c>
      <c r="D16" s="95">
        <v>0.53600000000000003</v>
      </c>
      <c r="E16" s="157">
        <f t="shared" si="0"/>
        <v>0.76571428571428579</v>
      </c>
      <c r="F16" s="16">
        <v>0.88</v>
      </c>
      <c r="G16" s="128">
        <v>0.92600000000000005</v>
      </c>
      <c r="H16" s="157">
        <f t="shared" si="1"/>
        <v>1.0522727272727272</v>
      </c>
      <c r="J16" s="3" t="s">
        <v>73</v>
      </c>
      <c r="K16" s="5"/>
      <c r="L16" s="5"/>
      <c r="M16" s="188"/>
      <c r="N16" s="5">
        <v>1.03</v>
      </c>
      <c r="O16" s="5">
        <v>0.19</v>
      </c>
      <c r="P16" s="189">
        <f t="shared" si="3"/>
        <v>0.18446601941747573</v>
      </c>
      <c r="Q16" s="5">
        <v>454</v>
      </c>
      <c r="R16" s="5">
        <v>440</v>
      </c>
      <c r="S16" s="5">
        <v>83</v>
      </c>
      <c r="T16" s="5">
        <v>440</v>
      </c>
      <c r="W16" s="35" t="s">
        <v>22</v>
      </c>
      <c r="X16" s="27">
        <v>0.66651011560693663</v>
      </c>
      <c r="Y16" s="27">
        <v>0.71242774566473988</v>
      </c>
      <c r="Z16" s="30">
        <f t="shared" si="4"/>
        <v>1.0688926229063902</v>
      </c>
      <c r="AB16" s="181" t="s">
        <v>19</v>
      </c>
      <c r="AC16" s="87">
        <v>1</v>
      </c>
      <c r="AG16" s="140" t="s">
        <v>25</v>
      </c>
      <c r="AH16" s="27">
        <v>0.98309178743961345</v>
      </c>
      <c r="AK16" s="155" t="s">
        <v>33</v>
      </c>
      <c r="AL16" s="27">
        <v>0.79114642451759365</v>
      </c>
    </row>
    <row r="17" spans="2:38" ht="15.75" thickBot="1" x14ac:dyDescent="0.3">
      <c r="J17" s="3" t="s">
        <v>74</v>
      </c>
      <c r="K17" s="4">
        <v>40000</v>
      </c>
      <c r="L17" s="4">
        <v>2260</v>
      </c>
      <c r="M17" s="188">
        <f t="shared" si="2"/>
        <v>5.6500000000000002E-2</v>
      </c>
      <c r="N17" s="5">
        <v>2.12</v>
      </c>
      <c r="O17" s="5">
        <v>2.0499999999999998</v>
      </c>
      <c r="P17" s="189">
        <f t="shared" si="3"/>
        <v>0.96698113207547154</v>
      </c>
      <c r="Q17" s="4">
        <v>2847</v>
      </c>
      <c r="R17" s="4">
        <v>1340</v>
      </c>
      <c r="S17" s="4">
        <v>2745</v>
      </c>
      <c r="T17" s="4">
        <v>1340</v>
      </c>
      <c r="W17" s="35" t="s">
        <v>20</v>
      </c>
      <c r="X17" s="27">
        <v>0.49192139737991281</v>
      </c>
      <c r="Y17" s="27">
        <v>0.4606986899563319</v>
      </c>
      <c r="Z17" s="30">
        <f t="shared" si="4"/>
        <v>0.93652907234798022</v>
      </c>
      <c r="AB17" s="181" t="s">
        <v>20</v>
      </c>
      <c r="AC17" s="87">
        <v>1</v>
      </c>
      <c r="AG17" s="140" t="s">
        <v>26</v>
      </c>
      <c r="AH17" s="27">
        <v>1.0687884430901191</v>
      </c>
      <c r="AK17" s="155" t="s">
        <v>21</v>
      </c>
      <c r="AL17" s="27">
        <v>0.90752351097178685</v>
      </c>
    </row>
    <row r="18" spans="2:38" ht="15.75" thickBot="1" x14ac:dyDescent="0.3">
      <c r="J18" s="3" t="s">
        <v>75</v>
      </c>
      <c r="K18" s="5"/>
      <c r="L18" s="5"/>
      <c r="M18" s="188"/>
      <c r="N18" s="5">
        <v>1.03</v>
      </c>
      <c r="O18" s="5" t="s">
        <v>67</v>
      </c>
      <c r="P18" s="189"/>
      <c r="Q18" s="5">
        <v>362</v>
      </c>
      <c r="R18" s="5">
        <v>353</v>
      </c>
      <c r="S18" s="5"/>
      <c r="T18" s="5">
        <v>353</v>
      </c>
      <c r="W18" s="35" t="s">
        <v>76</v>
      </c>
      <c r="X18" s="27">
        <v>0.30026525198938997</v>
      </c>
      <c r="Y18" s="27">
        <v>0.29708222811671087</v>
      </c>
      <c r="Z18" s="30">
        <f t="shared" si="4"/>
        <v>0.98939929328621889</v>
      </c>
      <c r="AB18" s="181" t="s">
        <v>78</v>
      </c>
      <c r="AC18" s="87">
        <v>0.8</v>
      </c>
      <c r="AG18" s="140" t="s">
        <v>27</v>
      </c>
      <c r="AH18" s="27">
        <v>0.88695569789188755</v>
      </c>
      <c r="AK18" s="155" t="s">
        <v>26</v>
      </c>
      <c r="AL18" s="27">
        <v>0.98014440433213001</v>
      </c>
    </row>
    <row r="19" spans="2:38" x14ac:dyDescent="0.25">
      <c r="B19" s="183" t="s">
        <v>196</v>
      </c>
      <c r="J19" s="3" t="s">
        <v>77</v>
      </c>
      <c r="K19" s="5"/>
      <c r="L19" s="5"/>
      <c r="M19" s="188"/>
      <c r="N19" s="5" t="s">
        <v>67</v>
      </c>
      <c r="O19" s="5">
        <v>0.72</v>
      </c>
      <c r="P19" s="189"/>
      <c r="Q19" s="5"/>
      <c r="R19" s="5">
        <v>184</v>
      </c>
      <c r="S19" s="5">
        <v>132</v>
      </c>
      <c r="T19" s="5">
        <v>184</v>
      </c>
      <c r="W19" s="193" t="s">
        <v>33</v>
      </c>
      <c r="X19" s="27"/>
      <c r="Y19" s="27"/>
      <c r="Z19" s="30">
        <f>Y24+Y25</f>
        <v>0.75887761572606216</v>
      </c>
      <c r="AB19" s="181" t="s">
        <v>27</v>
      </c>
      <c r="AC19" s="87">
        <v>1</v>
      </c>
      <c r="AG19" s="140" t="s">
        <v>78</v>
      </c>
      <c r="AH19" s="27">
        <v>0.58751204984320093</v>
      </c>
      <c r="AK19" s="155" t="s">
        <v>85</v>
      </c>
      <c r="AL19" s="27">
        <v>0.81005586592178769</v>
      </c>
    </row>
    <row r="20" spans="2:38" x14ac:dyDescent="0.25">
      <c r="J20" s="3" t="s">
        <v>79</v>
      </c>
      <c r="K20" s="5"/>
      <c r="L20" s="4">
        <v>30934</v>
      </c>
      <c r="M20" s="188" t="e">
        <f t="shared" si="2"/>
        <v>#DIV/0!</v>
      </c>
      <c r="N20" s="5">
        <v>2.13</v>
      </c>
      <c r="O20" s="5">
        <v>2.27</v>
      </c>
      <c r="P20" s="189">
        <f t="shared" si="3"/>
        <v>1.0657276995305165</v>
      </c>
      <c r="Q20" s="5">
        <v>598</v>
      </c>
      <c r="R20" s="5">
        <v>281</v>
      </c>
      <c r="S20" s="5">
        <v>637</v>
      </c>
      <c r="T20" s="5">
        <v>281</v>
      </c>
      <c r="W20" s="193" t="s">
        <v>78</v>
      </c>
      <c r="X20" s="27">
        <v>0.44284793814432999</v>
      </c>
      <c r="Y20" s="27">
        <v>0.32989690721649484</v>
      </c>
      <c r="Z20" s="30">
        <f t="shared" si="4"/>
        <v>0.74494398370435022</v>
      </c>
      <c r="AG20" s="140" t="s">
        <v>84</v>
      </c>
      <c r="AH20" s="27">
        <v>1.9770660340055358E-3</v>
      </c>
    </row>
    <row r="21" spans="2:38" x14ac:dyDescent="0.25">
      <c r="B21">
        <v>1</v>
      </c>
      <c r="C21">
        <v>2</v>
      </c>
      <c r="D21">
        <v>3</v>
      </c>
      <c r="J21" s="3" t="s">
        <v>80</v>
      </c>
      <c r="K21" s="5"/>
      <c r="L21" s="5"/>
      <c r="M21" s="188"/>
      <c r="N21" s="5">
        <v>2.11</v>
      </c>
      <c r="O21" s="5" t="s">
        <v>67</v>
      </c>
      <c r="P21" s="189"/>
      <c r="Q21" s="5">
        <v>232</v>
      </c>
      <c r="R21" s="5">
        <v>110</v>
      </c>
      <c r="S21" s="5"/>
      <c r="T21" s="5">
        <v>110</v>
      </c>
      <c r="W21" s="193" t="s">
        <v>146</v>
      </c>
      <c r="X21" s="117">
        <v>0.29642857142857149</v>
      </c>
      <c r="Y21" s="197">
        <v>7.5187969924812026E-3</v>
      </c>
      <c r="Z21" s="30">
        <f>Y21/X21</f>
        <v>2.5364616360177547E-2</v>
      </c>
      <c r="AG21" s="140" t="s">
        <v>81</v>
      </c>
      <c r="AH21" s="27">
        <v>0.96546546546546541</v>
      </c>
    </row>
    <row r="22" spans="2:38" x14ac:dyDescent="0.25">
      <c r="B22" s="20" t="s">
        <v>1</v>
      </c>
      <c r="C22" s="20" t="s">
        <v>2</v>
      </c>
      <c r="D22" s="20" t="s">
        <v>3</v>
      </c>
      <c r="E22" s="20" t="s">
        <v>142</v>
      </c>
      <c r="J22" s="3" t="s">
        <v>76</v>
      </c>
      <c r="K22" s="4">
        <v>151858</v>
      </c>
      <c r="L22" s="4">
        <v>155745</v>
      </c>
      <c r="M22" s="188">
        <f t="shared" si="2"/>
        <v>1.0255962807359507</v>
      </c>
      <c r="N22" s="5">
        <v>1.03</v>
      </c>
      <c r="O22" s="5">
        <v>0.88</v>
      </c>
      <c r="P22" s="189">
        <f t="shared" si="3"/>
        <v>0.85436893203883491</v>
      </c>
      <c r="Q22" s="4">
        <v>6474</v>
      </c>
      <c r="R22" s="4">
        <v>6288</v>
      </c>
      <c r="S22" s="4">
        <v>5519</v>
      </c>
      <c r="T22" s="4">
        <v>6288</v>
      </c>
      <c r="AG22" s="140" t="s">
        <v>82</v>
      </c>
      <c r="AH22" s="27">
        <v>0.29751062537947787</v>
      </c>
    </row>
    <row r="23" spans="2:38" x14ac:dyDescent="0.25">
      <c r="B23" s="184" t="s">
        <v>13</v>
      </c>
      <c r="C23" s="27">
        <v>1.0102564102564102</v>
      </c>
      <c r="D23" s="27">
        <v>1.0391304347826087</v>
      </c>
      <c r="E23" s="27">
        <f>VLOOKUP(B23,$B$42:$D$74,$D$41,FALSE)</f>
        <v>0.2753013009817224</v>
      </c>
      <c r="J23" s="3" t="s">
        <v>17</v>
      </c>
      <c r="K23" s="4">
        <v>1997355</v>
      </c>
      <c r="L23" s="4">
        <v>1906159</v>
      </c>
      <c r="M23" s="188">
        <f t="shared" si="2"/>
        <v>0.9543416167882024</v>
      </c>
      <c r="N23" s="5">
        <v>0.77</v>
      </c>
      <c r="O23" s="5">
        <v>0.76</v>
      </c>
      <c r="P23" s="189">
        <f t="shared" si="3"/>
        <v>0.98701298701298701</v>
      </c>
      <c r="Q23" s="4">
        <v>15931</v>
      </c>
      <c r="R23" s="4">
        <v>20768</v>
      </c>
      <c r="S23" s="4">
        <v>15850</v>
      </c>
      <c r="T23" s="4">
        <v>20768</v>
      </c>
      <c r="AG23" s="140" t="s">
        <v>83</v>
      </c>
      <c r="AH23" s="27">
        <v>1.1111111111111112</v>
      </c>
    </row>
    <row r="24" spans="2:38" x14ac:dyDescent="0.25">
      <c r="B24" s="184" t="s">
        <v>15</v>
      </c>
      <c r="C24" s="27">
        <v>1.0380434782608694</v>
      </c>
      <c r="D24" s="27">
        <v>1.0152173913043478</v>
      </c>
      <c r="E24" s="27">
        <f t="shared" ref="E24:E36" si="5">VLOOKUP(B24,$B$42:$D$74,$D$41,FALSE)</f>
        <v>0.13033761672918828</v>
      </c>
      <c r="J24" s="2" t="s">
        <v>23</v>
      </c>
      <c r="K24" s="4">
        <v>1234890</v>
      </c>
      <c r="L24" s="4">
        <v>1485363</v>
      </c>
      <c r="M24" s="188">
        <f t="shared" si="2"/>
        <v>1.2028302115977942</v>
      </c>
      <c r="N24" s="5">
        <v>1.39</v>
      </c>
      <c r="O24" s="5">
        <v>1.37</v>
      </c>
      <c r="P24" s="189">
        <f t="shared" si="3"/>
        <v>0.98561151079136711</v>
      </c>
      <c r="Q24" s="4">
        <v>10943</v>
      </c>
      <c r="R24" s="4">
        <v>7861</v>
      </c>
      <c r="S24" s="4">
        <v>10770</v>
      </c>
      <c r="T24" s="4">
        <v>7861</v>
      </c>
      <c r="X24" t="s">
        <v>146</v>
      </c>
      <c r="Y24" s="122">
        <f>Z21*35%/100%</f>
        <v>8.8776157260621411E-3</v>
      </c>
    </row>
    <row r="25" spans="2:38" x14ac:dyDescent="0.25">
      <c r="B25" s="184" t="s">
        <v>16</v>
      </c>
      <c r="C25" s="27">
        <v>1.0270588235294118</v>
      </c>
      <c r="D25" s="27">
        <v>1.0361702127659576</v>
      </c>
      <c r="E25" s="27">
        <f t="shared" si="5"/>
        <v>3.7113895761832549E-2</v>
      </c>
      <c r="J25" s="2" t="s">
        <v>19</v>
      </c>
      <c r="K25" s="4">
        <v>1169093</v>
      </c>
      <c r="L25" s="4">
        <v>1282059</v>
      </c>
      <c r="M25" s="188">
        <f t="shared" si="2"/>
        <v>1.0966270433575429</v>
      </c>
      <c r="N25" s="5">
        <v>1</v>
      </c>
      <c r="O25" s="5">
        <v>0.94</v>
      </c>
      <c r="P25" s="189">
        <f t="shared" si="3"/>
        <v>0.94</v>
      </c>
      <c r="Q25" s="4">
        <v>8085</v>
      </c>
      <c r="R25" s="4">
        <v>8087</v>
      </c>
      <c r="S25" s="4">
        <v>7601</v>
      </c>
      <c r="T25" s="4">
        <v>8087</v>
      </c>
      <c r="X25" t="s">
        <v>76</v>
      </c>
      <c r="Y25" s="194">
        <v>0.75</v>
      </c>
    </row>
    <row r="26" spans="2:38" x14ac:dyDescent="0.25">
      <c r="B26" s="184" t="s">
        <v>17</v>
      </c>
      <c r="C26" s="27">
        <v>1.0220930232558141</v>
      </c>
      <c r="D26" s="27">
        <v>1.0888888888888888</v>
      </c>
      <c r="E26" s="27">
        <f t="shared" si="5"/>
        <v>4.6113017798707003E-2</v>
      </c>
      <c r="J26" s="2" t="s">
        <v>20</v>
      </c>
      <c r="K26" s="4">
        <v>1308151</v>
      </c>
      <c r="L26" s="4">
        <v>1459589</v>
      </c>
      <c r="M26" s="188">
        <f t="shared" si="2"/>
        <v>1.1157649231625402</v>
      </c>
      <c r="N26" s="5">
        <v>1.18</v>
      </c>
      <c r="O26" s="5">
        <v>1.19</v>
      </c>
      <c r="P26" s="189">
        <f t="shared" si="3"/>
        <v>1.0084745762711864</v>
      </c>
      <c r="Q26" s="4">
        <v>10511</v>
      </c>
      <c r="R26" s="4">
        <v>8901</v>
      </c>
      <c r="S26" s="4">
        <v>10602</v>
      </c>
      <c r="T26" s="4">
        <v>8901</v>
      </c>
    </row>
    <row r="27" spans="2:38" x14ac:dyDescent="0.25">
      <c r="B27" s="184" t="s">
        <v>14</v>
      </c>
      <c r="C27" s="27">
        <v>1.026829268292683</v>
      </c>
      <c r="D27" s="27">
        <v>1.0109890109890109</v>
      </c>
      <c r="E27" s="27">
        <f t="shared" si="5"/>
        <v>0.12920025540745469</v>
      </c>
      <c r="J27" s="2" t="s">
        <v>21</v>
      </c>
      <c r="K27" s="4">
        <v>455871</v>
      </c>
      <c r="L27" s="4">
        <v>529226</v>
      </c>
      <c r="M27" s="188">
        <f t="shared" si="2"/>
        <v>1.1609117491571079</v>
      </c>
      <c r="N27" s="5">
        <v>0.92</v>
      </c>
      <c r="O27" s="5">
        <v>1.08</v>
      </c>
      <c r="P27" s="189">
        <f t="shared" si="3"/>
        <v>1.173913043478261</v>
      </c>
      <c r="Q27" s="4">
        <v>3344</v>
      </c>
      <c r="R27" s="4">
        <v>3620</v>
      </c>
      <c r="S27" s="4">
        <v>3926</v>
      </c>
      <c r="T27" s="4">
        <v>3620</v>
      </c>
    </row>
    <row r="28" spans="2:38" x14ac:dyDescent="0.25">
      <c r="B28" s="184" t="s">
        <v>18</v>
      </c>
      <c r="C28" s="27">
        <v>1.0574468085106383</v>
      </c>
      <c r="D28" s="27">
        <v>1.04</v>
      </c>
      <c r="E28" s="27">
        <f t="shared" si="5"/>
        <v>3.7073988347034882E-2</v>
      </c>
      <c r="J28" s="3" t="s">
        <v>81</v>
      </c>
      <c r="K28" s="4">
        <v>150878</v>
      </c>
      <c r="L28" s="4">
        <v>139885</v>
      </c>
      <c r="M28" s="188">
        <f t="shared" si="2"/>
        <v>0.92713980832195553</v>
      </c>
      <c r="N28" s="5" t="s">
        <v>67</v>
      </c>
      <c r="O28" s="5" t="s">
        <v>67</v>
      </c>
      <c r="P28" s="189"/>
      <c r="Q28" s="5" t="s">
        <v>67</v>
      </c>
      <c r="R28" s="5">
        <v>952</v>
      </c>
      <c r="S28" s="5"/>
      <c r="T28" s="5">
        <v>952</v>
      </c>
    </row>
    <row r="29" spans="2:38" ht="15" customHeight="1" x14ac:dyDescent="0.25">
      <c r="B29" s="184" t="s">
        <v>26</v>
      </c>
      <c r="C29" s="27">
        <v>1.0541176470588236</v>
      </c>
      <c r="D29" s="27">
        <v>1.0666666666666667</v>
      </c>
      <c r="E29" s="27">
        <f t="shared" si="5"/>
        <v>2.1450235453747305E-2</v>
      </c>
      <c r="J29" s="3" t="s">
        <v>82</v>
      </c>
      <c r="K29" s="4">
        <v>51542</v>
      </c>
      <c r="L29" s="4">
        <v>42961</v>
      </c>
      <c r="M29" s="188">
        <f t="shared" si="2"/>
        <v>0.83351441542819449</v>
      </c>
      <c r="N29" s="5" t="s">
        <v>67</v>
      </c>
      <c r="O29" s="5" t="s">
        <v>67</v>
      </c>
      <c r="P29" s="189"/>
      <c r="Q29" s="5" t="s">
        <v>67</v>
      </c>
      <c r="R29" s="5">
        <v>228</v>
      </c>
      <c r="S29" s="5"/>
      <c r="T29" s="5">
        <v>228</v>
      </c>
    </row>
    <row r="30" spans="2:38" x14ac:dyDescent="0.25">
      <c r="B30" s="184" t="s">
        <v>19</v>
      </c>
      <c r="C30" s="27">
        <v>1.0657142857142858</v>
      </c>
      <c r="D30" s="27">
        <v>1.1373493975903615</v>
      </c>
      <c r="E30" s="27">
        <f t="shared" si="5"/>
        <v>4.5574267698938464E-2</v>
      </c>
      <c r="J30" s="3" t="s">
        <v>83</v>
      </c>
      <c r="K30" s="4">
        <v>144691</v>
      </c>
      <c r="L30" s="4">
        <v>169246</v>
      </c>
      <c r="M30" s="188">
        <f t="shared" si="2"/>
        <v>1.1697064779426503</v>
      </c>
      <c r="N30" s="5" t="s">
        <v>67</v>
      </c>
      <c r="O30" s="5" t="s">
        <v>67</v>
      </c>
      <c r="P30" s="189"/>
      <c r="Q30" s="5" t="s">
        <v>67</v>
      </c>
      <c r="R30" s="4">
        <v>1120</v>
      </c>
      <c r="S30" s="5"/>
      <c r="T30" s="4">
        <v>1120</v>
      </c>
    </row>
    <row r="31" spans="2:38" x14ac:dyDescent="0.25">
      <c r="B31" s="184" t="s">
        <v>23</v>
      </c>
      <c r="C31" s="27">
        <v>1.0133333333333334</v>
      </c>
      <c r="D31" s="27">
        <v>1.0626506024096387</v>
      </c>
      <c r="E31" s="27">
        <f t="shared" si="5"/>
        <v>4.8268018197781148E-2</v>
      </c>
      <c r="J31" s="3" t="s">
        <v>22</v>
      </c>
      <c r="K31" s="4">
        <v>1689939</v>
      </c>
      <c r="L31" s="4">
        <v>1633082</v>
      </c>
      <c r="M31" s="188">
        <f t="shared" si="2"/>
        <v>0.96635559034971086</v>
      </c>
      <c r="N31" s="5">
        <v>1.47</v>
      </c>
      <c r="O31" s="5">
        <v>1.44</v>
      </c>
      <c r="P31" s="189">
        <f t="shared" si="3"/>
        <v>0.97959183673469385</v>
      </c>
      <c r="Q31" s="4">
        <v>13610</v>
      </c>
      <c r="R31" s="4">
        <v>9240</v>
      </c>
      <c r="S31" s="4">
        <v>13272</v>
      </c>
      <c r="T31" s="4">
        <v>9240</v>
      </c>
    </row>
    <row r="32" spans="2:38" x14ac:dyDescent="0.25">
      <c r="B32" s="184" t="s">
        <v>20</v>
      </c>
      <c r="C32" s="27">
        <v>0.94000000000000006</v>
      </c>
      <c r="D32" s="27">
        <v>1.1987951807228916</v>
      </c>
      <c r="E32" s="27">
        <f t="shared" si="5"/>
        <v>4.8866629419746191E-2</v>
      </c>
      <c r="J32" s="3" t="s">
        <v>84</v>
      </c>
      <c r="K32" s="4">
        <v>221350</v>
      </c>
      <c r="L32" s="4">
        <v>224881</v>
      </c>
      <c r="M32" s="188">
        <f t="shared" si="2"/>
        <v>1.0159521120397561</v>
      </c>
      <c r="N32" s="5">
        <v>0.51</v>
      </c>
      <c r="O32" s="5" t="s">
        <v>67</v>
      </c>
      <c r="P32" s="189"/>
      <c r="Q32" s="5">
        <v>784</v>
      </c>
      <c r="R32" s="4">
        <v>1544</v>
      </c>
      <c r="S32" s="5"/>
      <c r="T32" s="4">
        <v>1544</v>
      </c>
    </row>
    <row r="33" spans="2:20" x14ac:dyDescent="0.25">
      <c r="B33" s="184" t="s">
        <v>21</v>
      </c>
      <c r="C33" s="27">
        <v>0.82285714285714284</v>
      </c>
      <c r="D33" s="27">
        <v>1.0879518072289158</v>
      </c>
      <c r="E33" s="27">
        <f t="shared" si="5"/>
        <v>2.4263708196982998E-2</v>
      </c>
      <c r="J33" s="3" t="s">
        <v>14</v>
      </c>
      <c r="K33" s="4">
        <v>1514157</v>
      </c>
      <c r="L33" s="4">
        <v>1149097</v>
      </c>
      <c r="M33" s="188">
        <f t="shared" si="2"/>
        <v>0.75890214819203028</v>
      </c>
      <c r="N33" s="5">
        <v>0.86</v>
      </c>
      <c r="O33" s="5">
        <v>0.86</v>
      </c>
      <c r="P33" s="189">
        <f t="shared" si="3"/>
        <v>1</v>
      </c>
      <c r="Q33" s="4">
        <v>35498</v>
      </c>
      <c r="R33" s="4">
        <v>41488</v>
      </c>
      <c r="S33" s="4">
        <v>35685</v>
      </c>
      <c r="T33" s="4">
        <v>41488</v>
      </c>
    </row>
    <row r="34" spans="2:20" x14ac:dyDescent="0.25">
      <c r="B34" s="184" t="s">
        <v>25</v>
      </c>
      <c r="C34" s="27">
        <v>1.0809523809523811</v>
      </c>
      <c r="D34" s="27">
        <v>1.0588888888888888</v>
      </c>
      <c r="E34" s="27">
        <f t="shared" si="5"/>
        <v>4.7848990342405619E-2</v>
      </c>
      <c r="J34" s="3" t="s">
        <v>15</v>
      </c>
      <c r="K34" s="4">
        <v>3209419</v>
      </c>
      <c r="L34" s="4">
        <v>3561321</v>
      </c>
      <c r="M34" s="188">
        <f t="shared" si="2"/>
        <v>1.1096466369769731</v>
      </c>
      <c r="N34" s="5">
        <v>1.32</v>
      </c>
      <c r="O34" s="5">
        <v>1.33</v>
      </c>
      <c r="P34" s="189">
        <f t="shared" si="3"/>
        <v>1.0075757575757576</v>
      </c>
      <c r="Q34" s="4">
        <v>28208</v>
      </c>
      <c r="R34" s="4">
        <v>21440</v>
      </c>
      <c r="S34" s="4">
        <v>28555</v>
      </c>
      <c r="T34" s="4">
        <v>21440</v>
      </c>
    </row>
    <row r="35" spans="2:20" x14ac:dyDescent="0.25">
      <c r="B35" s="184" t="s">
        <v>22</v>
      </c>
      <c r="C35" s="27">
        <v>1.0871428571428572</v>
      </c>
      <c r="D35" s="27">
        <v>1.0863636363636364</v>
      </c>
      <c r="E35" s="27">
        <f t="shared" si="5"/>
        <v>4.2441535637321413E-2</v>
      </c>
      <c r="J35" s="190" t="s">
        <v>33</v>
      </c>
      <c r="K35" s="4">
        <f>K10+K12+K13+K14+K15+K18+K19+K22+K16</f>
        <v>151858</v>
      </c>
      <c r="L35" s="4">
        <f>L10+L12+L13+L14+L15+L18+L19+L22+L16</f>
        <v>155745</v>
      </c>
      <c r="M35" s="188">
        <f t="shared" si="2"/>
        <v>1.0255962807359507</v>
      </c>
      <c r="N35" s="191">
        <f>Q35/R35</f>
        <v>1.0089711560299797</v>
      </c>
      <c r="O35" s="191">
        <f>S35/T35</f>
        <v>0.80558709970474673</v>
      </c>
      <c r="P35" s="189">
        <f t="shared" si="3"/>
        <v>0.79842431063590313</v>
      </c>
      <c r="Q35" s="4">
        <f>Q10+Q12+Q13+Q14+Q15+Q18+Q19+Q22+Q16</f>
        <v>8885</v>
      </c>
      <c r="R35" s="4">
        <f>R10+R12+R13+R14+R15+R18+R19+R22+R16</f>
        <v>8806</v>
      </c>
      <c r="S35" s="4">
        <f t="shared" ref="S35:T35" si="6">S10+S12+S13+S14+S15+S18+S19+S22+S16</f>
        <v>7094</v>
      </c>
      <c r="T35" s="4">
        <f t="shared" si="6"/>
        <v>8806</v>
      </c>
    </row>
    <row r="36" spans="2:20" x14ac:dyDescent="0.25">
      <c r="B36" s="184" t="s">
        <v>76</v>
      </c>
      <c r="C36" s="27">
        <v>0.76571428571428579</v>
      </c>
      <c r="D36" s="27">
        <v>1.0522727272727272</v>
      </c>
      <c r="E36" s="27">
        <f t="shared" si="5"/>
        <v>1.9933753691435869E-2</v>
      </c>
      <c r="J36" s="190" t="s">
        <v>85</v>
      </c>
      <c r="K36" s="4">
        <f>K11+K20+K21+K17</f>
        <v>40000</v>
      </c>
      <c r="L36" s="4">
        <f>L11+L20+L21+L17</f>
        <v>34025</v>
      </c>
      <c r="M36" s="188">
        <f t="shared" si="2"/>
        <v>0.85062499999999996</v>
      </c>
      <c r="N36" s="191">
        <f>Q36/R36</f>
        <v>2.1249491249491248</v>
      </c>
      <c r="O36" s="191">
        <f>S36/T36</f>
        <v>1.7667887667887667</v>
      </c>
      <c r="P36" s="189">
        <f t="shared" si="3"/>
        <v>0.83144991380961508</v>
      </c>
      <c r="Q36" s="4">
        <f>Q11+Q20+Q21+Q17</f>
        <v>5221</v>
      </c>
      <c r="R36" s="4">
        <f>R11+R20+R21+R17</f>
        <v>2457</v>
      </c>
      <c r="S36" s="4">
        <f t="shared" ref="S36:T36" si="7">S11+S20+S21+S17</f>
        <v>4341</v>
      </c>
      <c r="T36" s="4">
        <f t="shared" si="7"/>
        <v>2457</v>
      </c>
    </row>
    <row r="40" spans="2:20" x14ac:dyDescent="0.25">
      <c r="B40" t="s">
        <v>12</v>
      </c>
      <c r="C40" t="s">
        <v>233</v>
      </c>
      <c r="J40" t="s">
        <v>197</v>
      </c>
    </row>
    <row r="41" spans="2:20" x14ac:dyDescent="0.25">
      <c r="B41">
        <v>1</v>
      </c>
      <c r="C41">
        <v>2</v>
      </c>
      <c r="D41">
        <v>3</v>
      </c>
      <c r="J41">
        <v>1</v>
      </c>
      <c r="K41">
        <v>2</v>
      </c>
      <c r="L41">
        <v>3</v>
      </c>
    </row>
    <row r="42" spans="2:20" x14ac:dyDescent="0.25">
      <c r="B42" s="185" t="s">
        <v>155</v>
      </c>
      <c r="C42" s="187" t="s">
        <v>198</v>
      </c>
      <c r="D42" s="187" t="s">
        <v>142</v>
      </c>
      <c r="J42" s="20" t="s">
        <v>34</v>
      </c>
      <c r="K42" s="20" t="s">
        <v>10</v>
      </c>
      <c r="L42" s="20" t="s">
        <v>11</v>
      </c>
      <c r="M42" s="20" t="s">
        <v>142</v>
      </c>
    </row>
    <row r="43" spans="2:20" x14ac:dyDescent="0.25">
      <c r="B43" s="186" t="s">
        <v>95</v>
      </c>
      <c r="C43" s="186">
        <v>1</v>
      </c>
      <c r="D43" s="130">
        <v>1.9953707398834704E-5</v>
      </c>
      <c r="J43" s="14" t="s">
        <v>13</v>
      </c>
      <c r="K43" s="27">
        <f>VLOOKUP(J43,$J$3:$P$36,$M$2,FALSE)</f>
        <v>0.98775748805322705</v>
      </c>
      <c r="L43" s="27">
        <f>VLOOKUP(J43,$J$3:$P$36,$P$2,FALSE)</f>
        <v>1.04</v>
      </c>
      <c r="M43" s="27">
        <f>VLOOKUP(J43,$B$42:$D$76,$D$41,FALSE)</f>
        <v>0.2753013009817224</v>
      </c>
    </row>
    <row r="44" spans="2:20" x14ac:dyDescent="0.25">
      <c r="B44" s="186" t="s">
        <v>81</v>
      </c>
      <c r="C44" s="186">
        <v>245</v>
      </c>
      <c r="D44" s="130">
        <v>4.8886583127145024E-3</v>
      </c>
      <c r="F44" s="1">
        <f>D44+D49+D53+D61</f>
        <v>1.340889137201692E-2</v>
      </c>
      <c r="J44" s="14" t="s">
        <v>14</v>
      </c>
      <c r="K44" s="27">
        <f t="shared" ref="K44:K57" si="8">VLOOKUP(J44,$J$3:$P$36,$M$2,FALSE)</f>
        <v>0.75890214819203028</v>
      </c>
      <c r="L44" s="27">
        <f t="shared" ref="L44:L57" si="9">VLOOKUP(J44,$J$3:$P$36,$P$2,FALSE)</f>
        <v>1</v>
      </c>
      <c r="M44" s="27">
        <f t="shared" ref="M44:M57" si="10">VLOOKUP(J44,$B$42:$D$76,$D$41,FALSE)</f>
        <v>0.12920025540745469</v>
      </c>
    </row>
    <row r="45" spans="2:20" x14ac:dyDescent="0.25">
      <c r="B45" s="186" t="s">
        <v>66</v>
      </c>
      <c r="C45" s="186">
        <v>135</v>
      </c>
      <c r="D45" s="130">
        <v>2.693750498842685E-3</v>
      </c>
      <c r="J45" s="14" t="s">
        <v>15</v>
      </c>
      <c r="K45" s="27">
        <f t="shared" si="8"/>
        <v>1.1096466369769731</v>
      </c>
      <c r="L45" s="27">
        <f t="shared" si="9"/>
        <v>1.0075757575757576</v>
      </c>
      <c r="M45" s="27">
        <f t="shared" si="10"/>
        <v>0.13033761672918828</v>
      </c>
    </row>
    <row r="46" spans="2:20" x14ac:dyDescent="0.25">
      <c r="B46" s="186" t="s">
        <v>68</v>
      </c>
      <c r="C46" s="186">
        <v>200</v>
      </c>
      <c r="D46" s="130">
        <v>3.9907414797669405E-3</v>
      </c>
      <c r="J46" s="14" t="s">
        <v>16</v>
      </c>
      <c r="K46" s="27">
        <f t="shared" si="8"/>
        <v>0.96795597155716073</v>
      </c>
      <c r="L46" s="27">
        <f t="shared" si="9"/>
        <v>1.0097087378640777</v>
      </c>
      <c r="M46" s="27">
        <f t="shared" si="10"/>
        <v>3.7113895761832549E-2</v>
      </c>
    </row>
    <row r="47" spans="2:20" x14ac:dyDescent="0.25">
      <c r="B47" s="186" t="s">
        <v>69</v>
      </c>
      <c r="C47" s="186">
        <v>14</v>
      </c>
      <c r="D47" s="130">
        <v>2.7935190358368585E-4</v>
      </c>
      <c r="J47" s="14" t="s">
        <v>17</v>
      </c>
      <c r="K47" s="27">
        <f t="shared" si="8"/>
        <v>0.9543416167882024</v>
      </c>
      <c r="L47" s="27">
        <f t="shared" si="9"/>
        <v>0.98701298701298701</v>
      </c>
      <c r="M47" s="27">
        <f t="shared" si="10"/>
        <v>4.6113017798707003E-2</v>
      </c>
    </row>
    <row r="48" spans="2:20" x14ac:dyDescent="0.25">
      <c r="B48" s="186" t="s">
        <v>70</v>
      </c>
      <c r="C48" s="186">
        <v>91</v>
      </c>
      <c r="D48" s="130">
        <v>1.8157873732939579E-3</v>
      </c>
      <c r="J48" s="14" t="s">
        <v>18</v>
      </c>
      <c r="K48" s="27">
        <f t="shared" si="8"/>
        <v>1.0496712276799058</v>
      </c>
      <c r="L48" s="27">
        <f t="shared" si="9"/>
        <v>1</v>
      </c>
      <c r="M48" s="27">
        <f t="shared" si="10"/>
        <v>3.7073988347034882E-2</v>
      </c>
    </row>
    <row r="49" spans="2:13" x14ac:dyDescent="0.25">
      <c r="B49" s="186" t="s">
        <v>82</v>
      </c>
      <c r="C49" s="186">
        <v>56</v>
      </c>
      <c r="D49" s="130">
        <v>1.1174076143347434E-3</v>
      </c>
      <c r="J49" s="14" t="s">
        <v>19</v>
      </c>
      <c r="K49" s="27">
        <f t="shared" si="8"/>
        <v>1.0966270433575429</v>
      </c>
      <c r="L49" s="27">
        <f t="shared" si="9"/>
        <v>0.94</v>
      </c>
      <c r="M49" s="27">
        <f t="shared" si="10"/>
        <v>4.5574267698938464E-2</v>
      </c>
    </row>
    <row r="50" spans="2:13" x14ac:dyDescent="0.25">
      <c r="B50" s="186" t="s">
        <v>26</v>
      </c>
      <c r="C50" s="186">
        <v>1075</v>
      </c>
      <c r="D50" s="130">
        <v>2.1450235453747305E-2</v>
      </c>
      <c r="J50" s="14" t="s">
        <v>20</v>
      </c>
      <c r="K50" s="27">
        <f t="shared" si="8"/>
        <v>1.1157649231625402</v>
      </c>
      <c r="L50" s="27">
        <f t="shared" si="9"/>
        <v>1.0084745762711864</v>
      </c>
      <c r="M50" s="27">
        <f t="shared" si="10"/>
        <v>4.8866629419746191E-2</v>
      </c>
    </row>
    <row r="51" spans="2:13" x14ac:dyDescent="0.25">
      <c r="B51" s="186" t="s">
        <v>13</v>
      </c>
      <c r="C51" s="186">
        <v>13797</v>
      </c>
      <c r="D51" s="130">
        <v>0.2753013009817224</v>
      </c>
      <c r="J51" s="14" t="s">
        <v>21</v>
      </c>
      <c r="K51" s="27">
        <f t="shared" si="8"/>
        <v>1.1609117491571079</v>
      </c>
      <c r="L51" s="27">
        <f t="shared" si="9"/>
        <v>1.173913043478261</v>
      </c>
      <c r="M51" s="27">
        <f t="shared" si="10"/>
        <v>2.4263708196982998E-2</v>
      </c>
    </row>
    <row r="52" spans="2:13" x14ac:dyDescent="0.25">
      <c r="B52" s="186" t="s">
        <v>15</v>
      </c>
      <c r="C52" s="186">
        <v>6532</v>
      </c>
      <c r="D52" s="130">
        <v>0.13033761672918828</v>
      </c>
      <c r="J52" s="14" t="s">
        <v>22</v>
      </c>
      <c r="K52" s="27">
        <f t="shared" si="8"/>
        <v>0.96635559034971086</v>
      </c>
      <c r="L52" s="27">
        <f t="shared" si="9"/>
        <v>0.97959183673469385</v>
      </c>
      <c r="M52" s="27">
        <f t="shared" si="10"/>
        <v>4.2441535637321413E-2</v>
      </c>
    </row>
    <row r="53" spans="2:13" x14ac:dyDescent="0.25">
      <c r="B53" s="186" t="s">
        <v>83</v>
      </c>
      <c r="C53" s="186">
        <v>271</v>
      </c>
      <c r="D53" s="130">
        <v>5.4074547050842045E-3</v>
      </c>
      <c r="J53" s="14" t="s">
        <v>23</v>
      </c>
      <c r="K53" s="27">
        <f t="shared" si="8"/>
        <v>1.2028302115977942</v>
      </c>
      <c r="L53" s="27">
        <f t="shared" si="9"/>
        <v>0.98561151079136711</v>
      </c>
      <c r="M53" s="27">
        <f t="shared" si="10"/>
        <v>4.8268018197781148E-2</v>
      </c>
    </row>
    <row r="54" spans="2:13" x14ac:dyDescent="0.25">
      <c r="B54" s="186" t="s">
        <v>71</v>
      </c>
      <c r="C54" s="186">
        <v>56</v>
      </c>
      <c r="D54" s="130">
        <v>1.1174076143347434E-3</v>
      </c>
      <c r="J54" s="14" t="s">
        <v>25</v>
      </c>
      <c r="K54" s="27">
        <f t="shared" si="8"/>
        <v>0.85629801799178928</v>
      </c>
      <c r="L54" s="27">
        <f t="shared" si="9"/>
        <v>1.2283464566929134</v>
      </c>
      <c r="M54" s="27">
        <f t="shared" si="10"/>
        <v>4.7848990342405619E-2</v>
      </c>
    </row>
    <row r="55" spans="2:13" x14ac:dyDescent="0.25">
      <c r="B55" s="186" t="s">
        <v>22</v>
      </c>
      <c r="C55" s="186">
        <v>2127</v>
      </c>
      <c r="D55" s="130">
        <v>4.2441535637321413E-2</v>
      </c>
      <c r="J55" s="14" t="s">
        <v>26</v>
      </c>
      <c r="K55" s="27">
        <f t="shared" si="8"/>
        <v>0.72591119110016522</v>
      </c>
      <c r="L55" s="27">
        <f t="shared" si="9"/>
        <v>0.94186046511627919</v>
      </c>
      <c r="M55" s="27">
        <f t="shared" si="10"/>
        <v>2.1450235453747305E-2</v>
      </c>
    </row>
    <row r="56" spans="2:13" x14ac:dyDescent="0.25">
      <c r="B56" s="186" t="s">
        <v>16</v>
      </c>
      <c r="C56" s="186">
        <v>1860</v>
      </c>
      <c r="D56" s="130">
        <v>3.7113895761832549E-2</v>
      </c>
      <c r="J56" s="14" t="s">
        <v>27</v>
      </c>
      <c r="K56" s="27">
        <f t="shared" si="8"/>
        <v>1.0255962807359507</v>
      </c>
      <c r="L56" s="27">
        <f t="shared" si="9"/>
        <v>0.79842431063590313</v>
      </c>
      <c r="M56" s="27">
        <f t="shared" si="10"/>
        <v>2.9890653683454387E-2</v>
      </c>
    </row>
    <row r="57" spans="2:13" x14ac:dyDescent="0.25">
      <c r="B57" s="186" t="s">
        <v>19</v>
      </c>
      <c r="C57" s="186">
        <v>2284</v>
      </c>
      <c r="D57" s="130">
        <v>4.5574267698938464E-2</v>
      </c>
      <c r="J57" s="14" t="s">
        <v>78</v>
      </c>
      <c r="K57" s="27">
        <f t="shared" si="8"/>
        <v>0.85062499999999996</v>
      </c>
      <c r="L57" s="27">
        <f t="shared" si="9"/>
        <v>0.83144991380961508</v>
      </c>
      <c r="M57" s="27">
        <f t="shared" si="10"/>
        <v>1.2471067124271689E-2</v>
      </c>
    </row>
    <row r="58" spans="2:13" x14ac:dyDescent="0.25">
      <c r="B58" s="186" t="s">
        <v>72</v>
      </c>
      <c r="C58" s="186">
        <v>56</v>
      </c>
      <c r="D58" s="130">
        <v>1.1174076143347434E-3</v>
      </c>
    </row>
    <row r="59" spans="2:13" x14ac:dyDescent="0.25">
      <c r="B59" s="186" t="s">
        <v>73</v>
      </c>
      <c r="C59" s="186">
        <v>53</v>
      </c>
      <c r="D59" s="130">
        <v>1.0575464921382394E-3</v>
      </c>
    </row>
    <row r="60" spans="2:13" x14ac:dyDescent="0.25">
      <c r="B60" s="186" t="s">
        <v>23</v>
      </c>
      <c r="C60" s="186">
        <v>2419</v>
      </c>
      <c r="D60" s="130">
        <v>4.8268018197781148E-2</v>
      </c>
    </row>
    <row r="61" spans="2:13" x14ac:dyDescent="0.25">
      <c r="B61" s="186" t="s">
        <v>84</v>
      </c>
      <c r="C61" s="186">
        <v>100</v>
      </c>
      <c r="D61" s="130">
        <v>1.9953707398834702E-3</v>
      </c>
    </row>
    <row r="62" spans="2:13" x14ac:dyDescent="0.25">
      <c r="B62" s="186" t="s">
        <v>20</v>
      </c>
      <c r="C62" s="186">
        <v>2449</v>
      </c>
      <c r="D62" s="130">
        <v>4.8866629419746191E-2</v>
      </c>
    </row>
    <row r="63" spans="2:13" x14ac:dyDescent="0.25">
      <c r="B63" s="186" t="s">
        <v>74</v>
      </c>
      <c r="C63" s="186">
        <v>293</v>
      </c>
      <c r="D63" s="130">
        <v>5.8464362678585678E-3</v>
      </c>
    </row>
    <row r="64" spans="2:13" x14ac:dyDescent="0.25">
      <c r="B64" s="186" t="s">
        <v>21</v>
      </c>
      <c r="C64" s="186">
        <v>1216</v>
      </c>
      <c r="D64" s="130">
        <v>2.4263708196982998E-2</v>
      </c>
    </row>
    <row r="65" spans="2:4" x14ac:dyDescent="0.25">
      <c r="B65" s="186" t="s">
        <v>14</v>
      </c>
      <c r="C65" s="186">
        <v>6475</v>
      </c>
      <c r="D65" s="130">
        <v>0.12920025540745469</v>
      </c>
    </row>
    <row r="66" spans="2:4" x14ac:dyDescent="0.25">
      <c r="B66" s="186" t="s">
        <v>17</v>
      </c>
      <c r="C66" s="186">
        <v>2311</v>
      </c>
      <c r="D66" s="130">
        <v>4.6113017798707003E-2</v>
      </c>
    </row>
    <row r="67" spans="2:4" x14ac:dyDescent="0.25">
      <c r="B67" s="186" t="s">
        <v>25</v>
      </c>
      <c r="C67" s="186">
        <v>2398</v>
      </c>
      <c r="D67" s="130">
        <v>4.7848990342405619E-2</v>
      </c>
    </row>
    <row r="68" spans="2:4" x14ac:dyDescent="0.25">
      <c r="B68" s="186" t="s">
        <v>75</v>
      </c>
      <c r="C68" s="186">
        <v>56</v>
      </c>
      <c r="D68" s="130">
        <v>1.1174076143347434E-3</v>
      </c>
    </row>
    <row r="69" spans="2:4" x14ac:dyDescent="0.25">
      <c r="B69" s="186" t="s">
        <v>77</v>
      </c>
      <c r="C69" s="186">
        <v>37</v>
      </c>
      <c r="D69" s="130">
        <v>7.38287173756884E-4</v>
      </c>
    </row>
    <row r="70" spans="2:4" x14ac:dyDescent="0.25">
      <c r="B70" s="186" t="s">
        <v>79</v>
      </c>
      <c r="C70" s="186">
        <v>99</v>
      </c>
      <c r="D70" s="130">
        <v>1.9754170324846358E-3</v>
      </c>
    </row>
    <row r="71" spans="2:4" x14ac:dyDescent="0.25">
      <c r="B71" s="186" t="s">
        <v>172</v>
      </c>
      <c r="C71" s="186">
        <v>520</v>
      </c>
      <c r="D71" s="130">
        <v>1.0375927847394046E-2</v>
      </c>
    </row>
    <row r="72" spans="2:4" x14ac:dyDescent="0.25">
      <c r="B72" s="186" t="s">
        <v>80</v>
      </c>
      <c r="C72" s="186">
        <v>33</v>
      </c>
      <c r="D72" s="130">
        <v>6.5847234416154519E-4</v>
      </c>
    </row>
    <row r="73" spans="2:4" x14ac:dyDescent="0.25">
      <c r="B73" s="186" t="s">
        <v>76</v>
      </c>
      <c r="C73" s="186">
        <v>999</v>
      </c>
      <c r="D73" s="130">
        <v>1.9933753691435869E-2</v>
      </c>
    </row>
    <row r="74" spans="2:4" x14ac:dyDescent="0.25">
      <c r="B74" s="186" t="s">
        <v>18</v>
      </c>
      <c r="C74" s="186">
        <v>1858</v>
      </c>
      <c r="D74" s="130">
        <v>3.7073988347034882E-2</v>
      </c>
    </row>
    <row r="75" spans="2:4" x14ac:dyDescent="0.25">
      <c r="B75" s="186" t="s">
        <v>33</v>
      </c>
      <c r="C75" s="186">
        <f>C43+C45+C47+C48+C54+C58+C59+C68+C69+C73</f>
        <v>1498</v>
      </c>
      <c r="D75" s="130">
        <f>C75/C78</f>
        <v>2.9890653683454387E-2</v>
      </c>
    </row>
    <row r="76" spans="2:4" x14ac:dyDescent="0.25">
      <c r="B76" s="186" t="s">
        <v>78</v>
      </c>
      <c r="C76" s="186">
        <f>C72+C70+C63+C46</f>
        <v>625</v>
      </c>
      <c r="D76" s="130">
        <f>C76/C78</f>
        <v>1.2471067124271689E-2</v>
      </c>
    </row>
    <row r="78" spans="2:4" x14ac:dyDescent="0.25">
      <c r="B78" s="186" t="s">
        <v>173</v>
      </c>
      <c r="C78" s="186">
        <f>SUM(C43:C74)</f>
        <v>50116</v>
      </c>
    </row>
  </sheetData>
  <mergeCells count="11">
    <mergeCell ref="P3:P4"/>
    <mergeCell ref="Q3:Q4"/>
    <mergeCell ref="R3:R4"/>
    <mergeCell ref="S3:S4"/>
    <mergeCell ref="T3:T4"/>
    <mergeCell ref="J3:J4"/>
    <mergeCell ref="K3:K4"/>
    <mergeCell ref="L3:L4"/>
    <mergeCell ref="N3:N4"/>
    <mergeCell ref="O3:O4"/>
    <mergeCell ref="M3:M4"/>
  </mergeCells>
  <conditionalFormatting sqref="D3">
    <cfRule type="cellIs" dxfId="76" priority="24" operator="lessThan">
      <formula>0.78</formula>
    </cfRule>
  </conditionalFormatting>
  <conditionalFormatting sqref="D4">
    <cfRule type="cellIs" dxfId="75" priority="23" operator="lessThan">
      <formula>0.92</formula>
    </cfRule>
  </conditionalFormatting>
  <conditionalFormatting sqref="D5">
    <cfRule type="cellIs" dxfId="74" priority="22" operator="lessThan">
      <formula>0.85</formula>
    </cfRule>
  </conditionalFormatting>
  <conditionalFormatting sqref="D6">
    <cfRule type="cellIs" dxfId="73" priority="21" operator="lessThan">
      <formula>0.86</formula>
    </cfRule>
  </conditionalFormatting>
  <conditionalFormatting sqref="D7">
    <cfRule type="cellIs" dxfId="72" priority="12" operator="lessThan">
      <formula>0.82</formula>
    </cfRule>
  </conditionalFormatting>
  <conditionalFormatting sqref="D8">
    <cfRule type="cellIs" dxfId="71" priority="20" operator="lessThan">
      <formula>0.94</formula>
    </cfRule>
  </conditionalFormatting>
  <conditionalFormatting sqref="D9">
    <cfRule type="cellIs" dxfId="70" priority="18" operator="lessThan">
      <formula>0.85</formula>
    </cfRule>
  </conditionalFormatting>
  <conditionalFormatting sqref="D10">
    <cfRule type="cellIs" dxfId="69" priority="17" operator="lessThan">
      <formula>0.7</formula>
    </cfRule>
  </conditionalFormatting>
  <conditionalFormatting sqref="D11">
    <cfRule type="cellIs" dxfId="68" priority="16" operator="lessThan">
      <formula>0.75</formula>
    </cfRule>
  </conditionalFormatting>
  <conditionalFormatting sqref="D12:D13">
    <cfRule type="cellIs" dxfId="67" priority="15" operator="lessThan">
      <formula>0.7</formula>
    </cfRule>
  </conditionalFormatting>
  <conditionalFormatting sqref="D14">
    <cfRule type="cellIs" dxfId="66" priority="14" operator="lessThan">
      <formula>0.84</formula>
    </cfRule>
  </conditionalFormatting>
  <conditionalFormatting sqref="D15:D16">
    <cfRule type="cellIs" dxfId="65" priority="13" operator="lessThan">
      <formula>0.7</formula>
    </cfRule>
  </conditionalFormatting>
  <conditionalFormatting sqref="G3:G4">
    <cfRule type="cellIs" dxfId="64" priority="9" operator="lessThan">
      <formula>0.92</formula>
    </cfRule>
  </conditionalFormatting>
  <conditionalFormatting sqref="G5">
    <cfRule type="cellIs" dxfId="63" priority="8" operator="lessThan">
      <formula>0.94</formula>
    </cfRule>
  </conditionalFormatting>
  <conditionalFormatting sqref="G6">
    <cfRule type="cellIs" dxfId="62" priority="7" operator="lessThan">
      <formula>0.9</formula>
    </cfRule>
  </conditionalFormatting>
  <conditionalFormatting sqref="G7">
    <cfRule type="cellIs" dxfId="61" priority="1" operator="lessThan">
      <formula>0.91</formula>
    </cfRule>
  </conditionalFormatting>
  <conditionalFormatting sqref="G8">
    <cfRule type="cellIs" dxfId="60" priority="6" operator="lessThan">
      <formula>0.95</formula>
    </cfRule>
  </conditionalFormatting>
  <conditionalFormatting sqref="G9">
    <cfRule type="cellIs" dxfId="59" priority="4" operator="lessThan">
      <formula>0.87</formula>
    </cfRule>
  </conditionalFormatting>
  <conditionalFormatting sqref="G10:G13">
    <cfRule type="cellIs" dxfId="58" priority="3" operator="lessThan">
      <formula>0.83</formula>
    </cfRule>
  </conditionalFormatting>
  <conditionalFormatting sqref="G14">
    <cfRule type="cellIs" dxfId="57" priority="11" operator="lessThan">
      <formula>0.9</formula>
    </cfRule>
  </conditionalFormatting>
  <conditionalFormatting sqref="G15:G16">
    <cfRule type="cellIs" dxfId="56" priority="10" operator="lessThan">
      <formula>0.88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FE4F-9744-4E3D-8FD2-FF7FCF262130}">
  <sheetPr codeName="Hoja8"/>
  <dimension ref="C3:AI60"/>
  <sheetViews>
    <sheetView showGridLines="0" tabSelected="1" topLeftCell="B3" zoomScale="115" zoomScaleNormal="115" workbookViewId="0">
      <selection activeCell="S24" sqref="S24"/>
    </sheetView>
  </sheetViews>
  <sheetFormatPr baseColWidth="10" defaultColWidth="8.7109375" defaultRowHeight="15" x14ac:dyDescent="0.25"/>
  <cols>
    <col min="1" max="3" width="8.7109375" style="11"/>
    <col min="4" max="4" width="9" style="11" customWidth="1"/>
    <col min="5" max="7" width="8.7109375" style="11"/>
    <col min="8" max="8" width="9.5703125" style="11" customWidth="1"/>
    <col min="9" max="9" width="13.5703125" style="11" customWidth="1"/>
    <col min="10" max="10" width="11.42578125" style="11" customWidth="1"/>
    <col min="11" max="11" width="13.28515625" style="11" customWidth="1"/>
    <col min="12" max="12" width="11.7109375" style="11" customWidth="1"/>
    <col min="13" max="14" width="11.28515625" style="11" customWidth="1"/>
    <col min="15" max="15" width="12.28515625" style="11" customWidth="1"/>
    <col min="16" max="16" width="15.5703125" style="11" customWidth="1"/>
    <col min="17" max="17" width="14.85546875" style="11" customWidth="1"/>
    <col min="18" max="18" width="16.140625" style="11" bestFit="1" customWidth="1"/>
    <col min="19" max="19" width="13.28515625" style="11" bestFit="1" customWidth="1"/>
    <col min="20" max="20" width="13.140625" style="11" bestFit="1" customWidth="1"/>
    <col min="21" max="21" width="16.7109375" style="11" bestFit="1" customWidth="1"/>
    <col min="22" max="22" width="12.7109375" style="11" bestFit="1" customWidth="1"/>
    <col min="23" max="23" width="16" style="11" bestFit="1" customWidth="1"/>
    <col min="24" max="24" width="13.28515625" style="11" bestFit="1" customWidth="1"/>
    <col min="25" max="25" width="12.85546875" style="11" bestFit="1" customWidth="1"/>
    <col min="26" max="27" width="8.7109375" style="11"/>
    <col min="28" max="29" width="9.28515625" style="11" bestFit="1" customWidth="1"/>
    <col min="30" max="16384" width="8.7109375" style="11"/>
  </cols>
  <sheetData>
    <row r="3" spans="4:35" ht="15.75" thickBot="1" x14ac:dyDescent="0.3">
      <c r="D3" s="255">
        <v>1</v>
      </c>
      <c r="E3" s="255">
        <v>2</v>
      </c>
      <c r="F3" s="255">
        <v>3</v>
      </c>
      <c r="G3" s="255">
        <v>4</v>
      </c>
      <c r="H3" s="255">
        <v>5</v>
      </c>
      <c r="I3" s="255">
        <v>6</v>
      </c>
      <c r="J3" s="255">
        <v>7</v>
      </c>
      <c r="K3" s="255">
        <v>8</v>
      </c>
      <c r="L3" s="255">
        <v>9</v>
      </c>
      <c r="M3" s="255">
        <v>10</v>
      </c>
      <c r="N3" s="255">
        <v>11</v>
      </c>
      <c r="O3" s="255">
        <v>12</v>
      </c>
      <c r="P3" s="255">
        <v>13</v>
      </c>
      <c r="Q3" s="255">
        <v>14</v>
      </c>
      <c r="R3" s="255">
        <v>15</v>
      </c>
      <c r="S3" s="255">
        <v>16</v>
      </c>
      <c r="T3" s="255">
        <v>17</v>
      </c>
      <c r="U3" s="255">
        <v>18</v>
      </c>
      <c r="V3" s="255">
        <v>19</v>
      </c>
      <c r="W3" s="255">
        <v>20</v>
      </c>
      <c r="X3" s="11">
        <v>21</v>
      </c>
      <c r="Y3" s="255">
        <v>22</v>
      </c>
      <c r="Z3" s="11">
        <v>23</v>
      </c>
    </row>
    <row r="4" spans="4:35" ht="45.75" thickBot="1" x14ac:dyDescent="0.3">
      <c r="D4" s="11" t="s">
        <v>1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199</v>
      </c>
      <c r="Q4" s="11" t="s">
        <v>143</v>
      </c>
      <c r="R4" s="11" t="s">
        <v>145</v>
      </c>
      <c r="S4" s="11" t="s">
        <v>35</v>
      </c>
      <c r="T4" s="11" t="s">
        <v>89</v>
      </c>
      <c r="U4" s="11" t="s">
        <v>230</v>
      </c>
      <c r="V4" s="256" t="s">
        <v>229</v>
      </c>
      <c r="W4" s="256" t="s">
        <v>191</v>
      </c>
      <c r="X4" s="256" t="s">
        <v>231</v>
      </c>
      <c r="Y4" s="256" t="s">
        <v>232</v>
      </c>
      <c r="Z4" s="256" t="s">
        <v>236</v>
      </c>
      <c r="AC4" s="192" t="s">
        <v>34</v>
      </c>
      <c r="AD4" s="161" t="s">
        <v>192</v>
      </c>
      <c r="AF4" s="257" t="s">
        <v>1</v>
      </c>
      <c r="AH4" s="260" t="s">
        <v>234</v>
      </c>
      <c r="AI4" s="260" t="s">
        <v>235</v>
      </c>
    </row>
    <row r="5" spans="4:35" ht="15.75" thickBot="1" x14ac:dyDescent="0.3">
      <c r="D5" s="11" t="s">
        <v>26</v>
      </c>
      <c r="E5" s="21">
        <v>0.89900000000000002</v>
      </c>
      <c r="F5" s="21">
        <v>0.94</v>
      </c>
      <c r="G5" s="24">
        <v>0.65</v>
      </c>
      <c r="H5" s="21">
        <v>1.0789458834151571</v>
      </c>
      <c r="I5" s="21">
        <v>0.93592129752725317</v>
      </c>
      <c r="J5" s="21">
        <v>0.86</v>
      </c>
      <c r="K5" s="23" t="s">
        <v>24</v>
      </c>
      <c r="L5" s="21">
        <v>1</v>
      </c>
      <c r="M5" s="21">
        <v>0.70276349533996374</v>
      </c>
      <c r="N5" s="21">
        <v>0.94186046511627919</v>
      </c>
      <c r="O5" s="21">
        <v>0.97691373025516404</v>
      </c>
      <c r="P5" s="24">
        <v>0.90074971655725999</v>
      </c>
      <c r="Q5" s="295">
        <v>0.85</v>
      </c>
      <c r="R5" s="21">
        <v>0.87</v>
      </c>
      <c r="S5">
        <v>1598700</v>
      </c>
      <c r="T5" s="5">
        <v>0.86</v>
      </c>
      <c r="U5" s="5">
        <v>0.81</v>
      </c>
      <c r="V5">
        <v>1598700</v>
      </c>
      <c r="W5" s="296">
        <v>1123508</v>
      </c>
      <c r="X5" s="27"/>
      <c r="Y5" s="27"/>
      <c r="Z5" s="27"/>
      <c r="AC5" s="35" t="s">
        <v>26</v>
      </c>
      <c r="AD5" s="27">
        <v>0.53086419753086422</v>
      </c>
      <c r="AF5" s="258" t="s">
        <v>26</v>
      </c>
      <c r="AH5" s="261" t="s">
        <v>26</v>
      </c>
      <c r="AI5" s="262">
        <v>0.5</v>
      </c>
    </row>
    <row r="6" spans="4:35" ht="15.75" thickBot="1" x14ac:dyDescent="0.3">
      <c r="D6" s="11" t="s">
        <v>13</v>
      </c>
      <c r="E6" s="21">
        <v>0.78700000000000003</v>
      </c>
      <c r="F6" s="21">
        <v>0.95799999999999996</v>
      </c>
      <c r="G6" s="21">
        <v>0.69</v>
      </c>
      <c r="H6" s="21">
        <v>0.9479117415287629</v>
      </c>
      <c r="I6" s="21">
        <v>1.0410119820885564</v>
      </c>
      <c r="J6" s="21">
        <v>1</v>
      </c>
      <c r="K6" s="21">
        <v>1</v>
      </c>
      <c r="L6" s="21">
        <v>1</v>
      </c>
      <c r="M6" s="21">
        <v>1.0262016558173102</v>
      </c>
      <c r="N6" s="21">
        <v>1.0495049504950495</v>
      </c>
      <c r="O6" s="21">
        <v>1.1143529893529893</v>
      </c>
      <c r="P6" s="24">
        <v>0.98241646966115059</v>
      </c>
      <c r="Q6" s="295">
        <v>0.78</v>
      </c>
      <c r="R6" s="21">
        <v>0.92</v>
      </c>
      <c r="S6">
        <v>15392157</v>
      </c>
      <c r="T6" s="5">
        <v>1.01</v>
      </c>
      <c r="U6" s="5">
        <v>1.06</v>
      </c>
      <c r="V6">
        <v>15392157</v>
      </c>
      <c r="W6" s="296">
        <v>15795457</v>
      </c>
      <c r="X6" s="27"/>
      <c r="Y6" s="27"/>
      <c r="Z6" s="27"/>
      <c r="AC6" s="35" t="s">
        <v>13</v>
      </c>
      <c r="AD6" s="27">
        <v>0.61320412968665094</v>
      </c>
      <c r="AF6" s="259" t="s">
        <v>13</v>
      </c>
      <c r="AH6" s="261" t="s">
        <v>13</v>
      </c>
      <c r="AI6" s="262">
        <v>0.3</v>
      </c>
    </row>
    <row r="7" spans="4:35" ht="15.75" thickBot="1" x14ac:dyDescent="0.3">
      <c r="D7" s="11" t="s">
        <v>15</v>
      </c>
      <c r="E7" s="21">
        <v>0.94899999999999995</v>
      </c>
      <c r="F7" s="21">
        <v>0.93799999999999994</v>
      </c>
      <c r="G7" s="21">
        <v>0.75</v>
      </c>
      <c r="H7" s="21">
        <v>1.1111111111111112</v>
      </c>
      <c r="I7" s="21">
        <v>1.4352075337316501</v>
      </c>
      <c r="J7" s="21">
        <v>1</v>
      </c>
      <c r="K7" s="21">
        <v>1</v>
      </c>
      <c r="L7" s="21">
        <v>1</v>
      </c>
      <c r="M7" s="21">
        <v>1.1227060078774109</v>
      </c>
      <c r="N7" s="21">
        <v>1.0227272727272727</v>
      </c>
      <c r="O7" s="21">
        <v>0.95074906367041201</v>
      </c>
      <c r="P7" s="24">
        <v>0.97272471910112357</v>
      </c>
      <c r="Q7" s="295">
        <v>0.92</v>
      </c>
      <c r="R7" s="21">
        <v>0.92</v>
      </c>
      <c r="S7">
        <v>4624362</v>
      </c>
      <c r="T7" s="5">
        <v>1.32</v>
      </c>
      <c r="U7" s="5">
        <v>1.35</v>
      </c>
      <c r="V7">
        <v>4624362</v>
      </c>
      <c r="W7" s="296">
        <v>5191799</v>
      </c>
      <c r="X7" s="27"/>
      <c r="Y7" s="27"/>
      <c r="Z7" s="27"/>
      <c r="AC7" s="35" t="s">
        <v>15</v>
      </c>
      <c r="AD7" s="27">
        <v>0.54276114844227241</v>
      </c>
      <c r="AF7" s="258" t="s">
        <v>15</v>
      </c>
      <c r="AH7" s="261" t="s">
        <v>15</v>
      </c>
      <c r="AI7" s="262">
        <v>0.7</v>
      </c>
    </row>
    <row r="8" spans="4:35" ht="15.75" thickBot="1" x14ac:dyDescent="0.3">
      <c r="D8" s="11" t="s">
        <v>22</v>
      </c>
      <c r="E8" s="21">
        <v>0.76300000000000001</v>
      </c>
      <c r="F8" s="21">
        <v>0.96</v>
      </c>
      <c r="G8" s="21">
        <v>0.85</v>
      </c>
      <c r="H8" s="21">
        <v>1.1111111111111112</v>
      </c>
      <c r="I8" s="21">
        <v>1.0955537922031378</v>
      </c>
      <c r="J8" s="21">
        <v>1</v>
      </c>
      <c r="K8" s="21">
        <v>1</v>
      </c>
      <c r="L8" s="21">
        <v>1</v>
      </c>
      <c r="M8" s="21">
        <v>0.87453559999999997</v>
      </c>
      <c r="N8" s="21">
        <v>0.94557823129251695</v>
      </c>
      <c r="O8" s="21">
        <v>0.72788353863381861</v>
      </c>
      <c r="P8" s="24">
        <v>0.88033000471939737</v>
      </c>
      <c r="Q8" s="295">
        <v>0.7</v>
      </c>
      <c r="R8" s="21">
        <v>0.88</v>
      </c>
      <c r="S8">
        <v>2500000</v>
      </c>
      <c r="T8" s="5">
        <v>1.47</v>
      </c>
      <c r="U8" s="5">
        <v>1.39</v>
      </c>
      <c r="V8">
        <v>2500000</v>
      </c>
      <c r="W8" s="296">
        <v>2186339</v>
      </c>
      <c r="X8" s="27"/>
      <c r="Y8" s="27"/>
      <c r="Z8" s="27"/>
      <c r="AC8" s="35" t="s">
        <v>22</v>
      </c>
      <c r="AD8" s="27">
        <v>0.71242774566473988</v>
      </c>
      <c r="AF8" s="259" t="s">
        <v>22</v>
      </c>
      <c r="AH8" s="261" t="s">
        <v>22</v>
      </c>
      <c r="AI8" s="262">
        <v>0.7</v>
      </c>
    </row>
    <row r="9" spans="4:35" ht="15.75" thickBot="1" x14ac:dyDescent="0.3">
      <c r="D9" s="11" t="s">
        <v>16</v>
      </c>
      <c r="E9" s="21">
        <v>0.875</v>
      </c>
      <c r="F9" s="21">
        <v>0.95299999999999996</v>
      </c>
      <c r="G9" s="21">
        <v>1</v>
      </c>
      <c r="H9" s="21">
        <v>0.99061213991769548</v>
      </c>
      <c r="I9" s="21">
        <v>1.5066172578083645</v>
      </c>
      <c r="J9" s="21">
        <v>1</v>
      </c>
      <c r="K9" s="21">
        <v>1</v>
      </c>
      <c r="L9" s="21">
        <v>1</v>
      </c>
      <c r="M9" s="21">
        <v>0.93674834236877702</v>
      </c>
      <c r="N9" s="21">
        <v>1.0097087378640777</v>
      </c>
      <c r="O9" s="21">
        <v>1.0269627279936557</v>
      </c>
      <c r="P9" s="24">
        <v>0.98697415407046329</v>
      </c>
      <c r="Q9" s="295">
        <v>0.85</v>
      </c>
      <c r="R9" s="21">
        <v>0.94</v>
      </c>
      <c r="S9">
        <v>3284657</v>
      </c>
      <c r="T9" s="5">
        <v>1.03</v>
      </c>
      <c r="U9" s="5">
        <v>1.04</v>
      </c>
      <c r="V9">
        <v>3284657</v>
      </c>
      <c r="W9" s="296">
        <v>3076897</v>
      </c>
      <c r="X9" s="27"/>
      <c r="Y9" s="27"/>
      <c r="Z9" s="27"/>
      <c r="AC9" s="35" t="s">
        <v>16</v>
      </c>
      <c r="AD9" s="27">
        <v>0.65721271393643033</v>
      </c>
      <c r="AF9" s="258" t="s">
        <v>16</v>
      </c>
      <c r="AH9" s="261" t="s">
        <v>16</v>
      </c>
      <c r="AI9" s="262">
        <v>0.95</v>
      </c>
    </row>
    <row r="10" spans="4:35" ht="15.75" thickBot="1" x14ac:dyDescent="0.3">
      <c r="D10" s="11" t="s">
        <v>19</v>
      </c>
      <c r="E10" s="21">
        <v>0.77</v>
      </c>
      <c r="F10" s="21">
        <v>0.93400000000000005</v>
      </c>
      <c r="G10" s="21">
        <v>0.4</v>
      </c>
      <c r="H10" s="21">
        <v>1.060882044488602</v>
      </c>
      <c r="I10" s="21">
        <v>0.98093118645547017</v>
      </c>
      <c r="J10" s="21">
        <v>0.86</v>
      </c>
      <c r="K10" s="21">
        <v>1</v>
      </c>
      <c r="L10" s="21">
        <v>1</v>
      </c>
      <c r="M10" s="21">
        <v>1.0093165310267598</v>
      </c>
      <c r="N10" s="21">
        <v>0.94117647058823528</v>
      </c>
      <c r="O10" s="21">
        <v>0.86411536328341654</v>
      </c>
      <c r="P10" s="24">
        <v>0.91558950350206725</v>
      </c>
      <c r="Q10" s="295">
        <v>0.7</v>
      </c>
      <c r="R10" s="21">
        <v>0.83</v>
      </c>
      <c r="S10">
        <v>1869902</v>
      </c>
      <c r="T10" s="5">
        <v>1.02</v>
      </c>
      <c r="U10" s="5">
        <v>0.96</v>
      </c>
      <c r="V10">
        <v>1869902</v>
      </c>
      <c r="W10" s="296">
        <v>1887323</v>
      </c>
      <c r="X10" s="27"/>
      <c r="Y10" s="27"/>
      <c r="Z10" s="27"/>
      <c r="AC10" s="35" t="s">
        <v>19</v>
      </c>
      <c r="AD10" s="27">
        <v>0.53623188405797106</v>
      </c>
      <c r="AF10" s="259" t="s">
        <v>19</v>
      </c>
      <c r="AH10" s="261" t="s">
        <v>19</v>
      </c>
      <c r="AI10" s="262">
        <v>0.2</v>
      </c>
    </row>
    <row r="11" spans="4:35" ht="15.75" thickBot="1" x14ac:dyDescent="0.3">
      <c r="D11" s="11" t="s">
        <v>78</v>
      </c>
      <c r="E11" s="21">
        <v>0</v>
      </c>
      <c r="F11" s="21">
        <v>0</v>
      </c>
      <c r="G11" s="24">
        <v>1</v>
      </c>
      <c r="H11" s="21">
        <v>0.60128184667716489</v>
      </c>
      <c r="I11" s="21">
        <v>0.70902449248457966</v>
      </c>
      <c r="J11" s="21">
        <v>0.86</v>
      </c>
      <c r="K11" s="23" t="s">
        <v>24</v>
      </c>
      <c r="L11" s="21">
        <v>1</v>
      </c>
      <c r="M11" s="21">
        <v>0.79874285714285709</v>
      </c>
      <c r="N11" s="21">
        <v>0.83491278670512292</v>
      </c>
      <c r="O11" s="21">
        <v>0.77272727272727271</v>
      </c>
      <c r="P11" s="24">
        <v>0.81214685536885933</v>
      </c>
      <c r="Q11" s="297" t="s">
        <v>24</v>
      </c>
      <c r="R11" s="21">
        <v>0</v>
      </c>
      <c r="S11">
        <v>70000</v>
      </c>
      <c r="T11" s="191">
        <v>1.97</v>
      </c>
      <c r="U11" s="191">
        <v>1.6487659343639816</v>
      </c>
      <c r="V11">
        <v>70000</v>
      </c>
      <c r="W11" s="296">
        <v>55912</v>
      </c>
      <c r="X11" s="27"/>
      <c r="Y11" s="27"/>
      <c r="Z11" s="27"/>
      <c r="AC11" s="35" t="s">
        <v>78</v>
      </c>
      <c r="AD11" s="27">
        <v>0.32989690721649484</v>
      </c>
      <c r="AF11" s="258" t="s">
        <v>78</v>
      </c>
      <c r="AH11" s="261" t="s">
        <v>23</v>
      </c>
      <c r="AI11" s="262">
        <v>0.3</v>
      </c>
    </row>
    <row r="12" spans="4:35" ht="15.75" thickBot="1" x14ac:dyDescent="0.3">
      <c r="D12" s="11" t="s">
        <v>23</v>
      </c>
      <c r="E12" s="21">
        <v>0.74099999999999999</v>
      </c>
      <c r="F12" s="21">
        <v>0.88</v>
      </c>
      <c r="G12" s="24">
        <v>0.6</v>
      </c>
      <c r="H12" s="21">
        <v>1.0808080808080807</v>
      </c>
      <c r="I12" s="21">
        <v>1.0132714336176007</v>
      </c>
      <c r="J12" s="21">
        <v>1</v>
      </c>
      <c r="K12" s="23" t="s">
        <v>24</v>
      </c>
      <c r="L12" s="21">
        <v>1</v>
      </c>
      <c r="M12" s="21">
        <v>1.2336758687154463</v>
      </c>
      <c r="N12" s="21">
        <v>0.98561151079136711</v>
      </c>
      <c r="O12" s="21">
        <v>0.89495548961424332</v>
      </c>
      <c r="P12" s="24">
        <v>0.94632779796340971</v>
      </c>
      <c r="Q12" s="295">
        <v>0.75</v>
      </c>
      <c r="R12" s="21">
        <v>0.83</v>
      </c>
      <c r="S12">
        <v>1741134</v>
      </c>
      <c r="T12" s="5">
        <v>1.39</v>
      </c>
      <c r="U12" s="5">
        <v>1.37</v>
      </c>
      <c r="V12">
        <v>1741134</v>
      </c>
      <c r="W12" s="296">
        <v>2147995</v>
      </c>
      <c r="X12" s="27"/>
      <c r="Y12" s="27"/>
      <c r="Z12" s="27"/>
      <c r="AC12" s="35" t="s">
        <v>23</v>
      </c>
      <c r="AD12" s="27">
        <v>0.46352941176470586</v>
      </c>
      <c r="AF12" s="259" t="s">
        <v>23</v>
      </c>
      <c r="AH12" s="261" t="s">
        <v>20</v>
      </c>
      <c r="AI12" s="262">
        <v>0.2</v>
      </c>
    </row>
    <row r="13" spans="4:35" ht="15.75" thickBot="1" x14ac:dyDescent="0.3">
      <c r="D13" s="11" t="s">
        <v>20</v>
      </c>
      <c r="E13" s="21">
        <v>0.67400000000000004</v>
      </c>
      <c r="F13" s="21">
        <v>0.99199999999999999</v>
      </c>
      <c r="G13" s="21">
        <v>0.4</v>
      </c>
      <c r="H13" s="21">
        <v>1.0398739525744016</v>
      </c>
      <c r="I13" s="21">
        <v>0.94506792675723528</v>
      </c>
      <c r="J13" s="21">
        <v>0.86</v>
      </c>
      <c r="K13" s="21">
        <v>1</v>
      </c>
      <c r="L13" s="21">
        <v>1</v>
      </c>
      <c r="M13" s="21">
        <v>1.0948173276454745</v>
      </c>
      <c r="N13" s="21">
        <v>1.017094017094017</v>
      </c>
      <c r="O13" s="21">
        <v>0.97803881511746682</v>
      </c>
      <c r="P13" s="24">
        <v>0.95198579017695806</v>
      </c>
      <c r="Q13" s="295">
        <v>0.7</v>
      </c>
      <c r="R13" s="21">
        <v>0.83</v>
      </c>
      <c r="S13">
        <v>1902532</v>
      </c>
      <c r="T13" s="5">
        <v>1.17</v>
      </c>
      <c r="U13" s="5">
        <v>1.19</v>
      </c>
      <c r="V13">
        <v>1902532</v>
      </c>
      <c r="W13" s="296">
        <v>2082925</v>
      </c>
      <c r="X13" s="27"/>
      <c r="Y13" s="27"/>
      <c r="Z13" s="27"/>
      <c r="AC13" s="35" t="s">
        <v>20</v>
      </c>
      <c r="AD13" s="27">
        <v>0.4606986899563319</v>
      </c>
      <c r="AF13" s="258" t="s">
        <v>20</v>
      </c>
      <c r="AH13" s="261" t="s">
        <v>74</v>
      </c>
      <c r="AI13" s="262">
        <v>0.95</v>
      </c>
    </row>
    <row r="14" spans="4:35" ht="15.75" thickBot="1" x14ac:dyDescent="0.3">
      <c r="D14" s="11" t="s">
        <v>27</v>
      </c>
      <c r="E14" s="21">
        <v>0.56100000000000005</v>
      </c>
      <c r="F14" s="21">
        <v>0.92700000000000005</v>
      </c>
      <c r="G14" s="24">
        <v>0.9</v>
      </c>
      <c r="H14" s="21">
        <v>0.88695569789188755</v>
      </c>
      <c r="I14" s="21">
        <v>0.59155488249560984</v>
      </c>
      <c r="J14" s="21">
        <v>1</v>
      </c>
      <c r="K14" s="23" t="s">
        <v>24</v>
      </c>
      <c r="L14" s="21">
        <v>1</v>
      </c>
      <c r="M14" s="21">
        <v>0.53229230769230773</v>
      </c>
      <c r="N14" s="21">
        <v>0.53398569815581476</v>
      </c>
      <c r="O14" s="21">
        <v>0.77735849056603779</v>
      </c>
      <c r="P14" s="24">
        <v>0.75529071602506859</v>
      </c>
      <c r="Q14" s="295">
        <v>0.7</v>
      </c>
      <c r="R14" s="21">
        <v>0.88</v>
      </c>
      <c r="S14">
        <v>520000</v>
      </c>
      <c r="T14" s="191">
        <v>1.01</v>
      </c>
      <c r="U14" s="191">
        <v>0.53709872804360992</v>
      </c>
      <c r="V14">
        <v>520000</v>
      </c>
      <c r="W14" s="296">
        <v>276792</v>
      </c>
      <c r="X14" s="27"/>
      <c r="Y14" s="27"/>
      <c r="Z14" s="27"/>
      <c r="AC14" s="35" t="s">
        <v>33</v>
      </c>
      <c r="AD14" s="27"/>
      <c r="AF14" s="259" t="s">
        <v>27</v>
      </c>
      <c r="AH14" s="261" t="s">
        <v>21</v>
      </c>
      <c r="AI14" s="262">
        <v>0.9</v>
      </c>
    </row>
    <row r="15" spans="4:35" ht="15.75" thickBot="1" x14ac:dyDescent="0.3">
      <c r="D15" s="11" t="s">
        <v>21</v>
      </c>
      <c r="E15" s="21">
        <v>0.61199999999999999</v>
      </c>
      <c r="F15" s="21">
        <v>0.90600000000000003</v>
      </c>
      <c r="G15" s="21">
        <v>0.95</v>
      </c>
      <c r="H15" s="21">
        <v>0.96845124282982786</v>
      </c>
      <c r="I15" s="21">
        <v>0.84428809479725997</v>
      </c>
      <c r="J15" s="21">
        <v>0.86</v>
      </c>
      <c r="K15" s="21">
        <v>1</v>
      </c>
      <c r="L15" s="21">
        <v>1</v>
      </c>
      <c r="M15" s="21">
        <v>0.97718068214074871</v>
      </c>
      <c r="N15" s="21">
        <v>1.1758241758241759</v>
      </c>
      <c r="O15" s="21">
        <v>0.87031408308004055</v>
      </c>
      <c r="P15" s="24">
        <v>0.93199707771438822</v>
      </c>
      <c r="Q15" s="295">
        <v>0.7</v>
      </c>
      <c r="R15" s="21">
        <v>0.83</v>
      </c>
      <c r="S15">
        <v>750373</v>
      </c>
      <c r="T15" s="5">
        <v>0.91</v>
      </c>
      <c r="U15" s="5">
        <v>1.07</v>
      </c>
      <c r="V15">
        <v>750373</v>
      </c>
      <c r="W15" s="296">
        <v>733250</v>
      </c>
      <c r="X15" s="27"/>
      <c r="Y15" s="27"/>
      <c r="Z15" s="27"/>
      <c r="AC15" s="35" t="s">
        <v>21</v>
      </c>
      <c r="AD15" s="27">
        <v>0.50990099009900991</v>
      </c>
      <c r="AF15" s="258" t="s">
        <v>21</v>
      </c>
      <c r="AH15" s="261" t="s">
        <v>17</v>
      </c>
      <c r="AI15" s="262">
        <v>0.8</v>
      </c>
    </row>
    <row r="16" spans="4:35" ht="15.75" thickBot="1" x14ac:dyDescent="0.3">
      <c r="D16" s="11" t="s">
        <v>14</v>
      </c>
      <c r="E16" s="21">
        <v>0.84799999999999998</v>
      </c>
      <c r="F16" s="21">
        <v>0.92400000000000004</v>
      </c>
      <c r="G16" s="21" t="s">
        <v>24</v>
      </c>
      <c r="H16" s="21">
        <v>1.0733333333333333</v>
      </c>
      <c r="I16" s="21">
        <v>1.1168578216891083</v>
      </c>
      <c r="J16" s="21">
        <v>1</v>
      </c>
      <c r="K16" s="21">
        <v>1</v>
      </c>
      <c r="L16" s="21">
        <v>1</v>
      </c>
      <c r="M16" s="21">
        <v>0.79364223471380113</v>
      </c>
      <c r="N16" s="21">
        <v>1</v>
      </c>
      <c r="O16" s="21">
        <v>0.93421779988944165</v>
      </c>
      <c r="P16" s="24">
        <v>0.93899378690959279</v>
      </c>
      <c r="Q16" s="295">
        <v>0.82</v>
      </c>
      <c r="R16" s="21">
        <v>0.91</v>
      </c>
      <c r="S16">
        <v>2344157</v>
      </c>
      <c r="T16" s="5">
        <v>0.86</v>
      </c>
      <c r="U16" s="5">
        <v>0.86</v>
      </c>
      <c r="V16">
        <v>2344157</v>
      </c>
      <c r="W16" s="296">
        <v>1860422</v>
      </c>
      <c r="X16" s="27"/>
      <c r="Y16" s="27"/>
      <c r="Z16" s="27"/>
      <c r="AC16" s="35" t="s">
        <v>14</v>
      </c>
      <c r="AD16" s="27">
        <v>0.42694023193577163</v>
      </c>
      <c r="AF16" s="259" t="s">
        <v>14</v>
      </c>
      <c r="AH16" s="261" t="s">
        <v>25</v>
      </c>
      <c r="AI16" s="262">
        <v>0.7</v>
      </c>
    </row>
    <row r="17" spans="3:35" ht="15.75" thickBot="1" x14ac:dyDescent="0.3">
      <c r="D17" s="11" t="s">
        <v>17</v>
      </c>
      <c r="E17" s="21">
        <v>0.88300000000000001</v>
      </c>
      <c r="F17" s="21">
        <v>0.97199999999999998</v>
      </c>
      <c r="G17" s="21">
        <v>0.7</v>
      </c>
      <c r="H17" s="21">
        <v>1.0928712570299437</v>
      </c>
      <c r="I17" s="21">
        <v>1.2731400628711138</v>
      </c>
      <c r="J17" s="21">
        <v>1</v>
      </c>
      <c r="K17" s="21">
        <v>1</v>
      </c>
      <c r="L17" s="21">
        <v>1</v>
      </c>
      <c r="M17" s="21">
        <v>0.84243966880022991</v>
      </c>
      <c r="N17" s="21">
        <v>1</v>
      </c>
      <c r="O17" s="21">
        <v>0.87522176227084569</v>
      </c>
      <c r="P17" s="24">
        <v>0.91605446244129962</v>
      </c>
      <c r="Q17" s="295">
        <v>0.86</v>
      </c>
      <c r="R17" s="21">
        <v>0.9</v>
      </c>
      <c r="S17">
        <v>3256524</v>
      </c>
      <c r="T17" s="5">
        <v>0.77</v>
      </c>
      <c r="U17" s="5">
        <v>0.77</v>
      </c>
      <c r="V17">
        <v>3256524</v>
      </c>
      <c r="W17" s="296">
        <v>2743425</v>
      </c>
      <c r="X17" s="27"/>
      <c r="Y17" s="27"/>
      <c r="Z17" s="27"/>
      <c r="AC17" s="35" t="s">
        <v>17</v>
      </c>
      <c r="AD17" s="27">
        <v>0.71503680336487907</v>
      </c>
      <c r="AF17" s="258" t="s">
        <v>17</v>
      </c>
      <c r="AH17" s="261" t="s">
        <v>75</v>
      </c>
      <c r="AI17" s="262">
        <v>0.8</v>
      </c>
    </row>
    <row r="18" spans="3:35" ht="15.75" thickBot="1" x14ac:dyDescent="0.3">
      <c r="D18" s="11" t="s">
        <v>25</v>
      </c>
      <c r="E18" s="21">
        <v>0.873</v>
      </c>
      <c r="F18" s="21">
        <v>0.93799999999999994</v>
      </c>
      <c r="G18" s="24">
        <v>0.85</v>
      </c>
      <c r="H18" s="21">
        <v>0.98309178743961345</v>
      </c>
      <c r="I18" s="21">
        <v>1.0457799956606635</v>
      </c>
      <c r="J18" s="21">
        <v>0.86</v>
      </c>
      <c r="K18" s="23" t="s">
        <v>24</v>
      </c>
      <c r="L18" s="21">
        <v>1</v>
      </c>
      <c r="M18" s="21">
        <v>0.78588552546934176</v>
      </c>
      <c r="N18" s="21">
        <v>1.2362204724409449</v>
      </c>
      <c r="O18" s="21">
        <v>0.84395473496128648</v>
      </c>
      <c r="P18" s="24">
        <v>0.89518719707983885</v>
      </c>
      <c r="Q18" s="295">
        <v>0.84</v>
      </c>
      <c r="R18" s="21">
        <v>0.9</v>
      </c>
      <c r="S18">
        <v>3645265</v>
      </c>
      <c r="T18" s="5">
        <v>1.27</v>
      </c>
      <c r="U18" s="5">
        <v>1.57</v>
      </c>
      <c r="V18">
        <v>3645265</v>
      </c>
      <c r="W18" s="296">
        <v>2864761</v>
      </c>
      <c r="X18" s="27"/>
      <c r="Y18" s="27"/>
      <c r="Z18" s="27"/>
      <c r="AC18" s="35" t="s">
        <v>25</v>
      </c>
      <c r="AD18" s="27">
        <v>0.68768328445747806</v>
      </c>
      <c r="AF18" s="259" t="s">
        <v>25</v>
      </c>
      <c r="AH18" s="261" t="s">
        <v>76</v>
      </c>
      <c r="AI18" s="262">
        <v>0.5</v>
      </c>
    </row>
    <row r="19" spans="3:35" ht="15.75" thickBot="1" x14ac:dyDescent="0.3">
      <c r="D19" s="11" t="s">
        <v>18</v>
      </c>
      <c r="E19" s="21">
        <v>0.98899999999999999</v>
      </c>
      <c r="F19" s="21">
        <v>0.99099999999999999</v>
      </c>
      <c r="G19" s="21">
        <v>0</v>
      </c>
      <c r="H19" s="21">
        <v>0.98552128346495793</v>
      </c>
      <c r="I19" s="199">
        <v>1.0308548564979865</v>
      </c>
      <c r="J19" s="21">
        <v>1</v>
      </c>
      <c r="K19" s="21">
        <v>1</v>
      </c>
      <c r="L19" s="21">
        <v>1</v>
      </c>
      <c r="M19" s="21">
        <v>0.95996666666666663</v>
      </c>
      <c r="N19" s="21">
        <v>1</v>
      </c>
      <c r="O19" s="21">
        <v>0.71533742331288341</v>
      </c>
      <c r="P19" s="24">
        <v>0.85601541166579653</v>
      </c>
      <c r="Q19" s="295">
        <v>0.94</v>
      </c>
      <c r="R19" s="21">
        <v>0.95</v>
      </c>
      <c r="S19">
        <v>2100000</v>
      </c>
      <c r="T19" s="5">
        <v>0.85</v>
      </c>
      <c r="U19" s="5">
        <v>0.85</v>
      </c>
      <c r="V19">
        <v>2100000</v>
      </c>
      <c r="W19" s="296">
        <v>2015930</v>
      </c>
      <c r="X19" s="117"/>
      <c r="Y19" s="197"/>
      <c r="Z19" s="197"/>
      <c r="AC19" s="193" t="s">
        <v>18</v>
      </c>
      <c r="AD19" s="197">
        <v>0.41010656583018218</v>
      </c>
      <c r="AF19" s="258" t="s">
        <v>18</v>
      </c>
      <c r="AH19" s="261" t="s">
        <v>18</v>
      </c>
      <c r="AI19" s="262">
        <v>0.4</v>
      </c>
    </row>
    <row r="20" spans="3:35" x14ac:dyDescent="0.25">
      <c r="R20" s="199"/>
      <c r="AC20" s="193"/>
      <c r="AD20" s="27"/>
    </row>
    <row r="22" spans="3:35" ht="15.75" thickBot="1" x14ac:dyDescent="0.3">
      <c r="D22" s="11">
        <v>1</v>
      </c>
      <c r="E22" s="11">
        <v>2</v>
      </c>
      <c r="F22" s="11">
        <v>3</v>
      </c>
      <c r="G22" s="11">
        <v>4</v>
      </c>
      <c r="H22" s="11">
        <v>5</v>
      </c>
      <c r="I22" s="11">
        <v>6</v>
      </c>
      <c r="J22" s="11">
        <v>7</v>
      </c>
      <c r="K22" s="11">
        <v>8</v>
      </c>
      <c r="L22" s="11">
        <v>9</v>
      </c>
      <c r="M22" s="11">
        <v>10</v>
      </c>
      <c r="N22" s="11">
        <v>11</v>
      </c>
      <c r="O22" s="11">
        <v>12</v>
      </c>
      <c r="P22" s="11">
        <v>13</v>
      </c>
      <c r="Q22" s="11">
        <v>14</v>
      </c>
    </row>
    <row r="23" spans="3:35" x14ac:dyDescent="0.25">
      <c r="E23" s="277" t="s">
        <v>202</v>
      </c>
      <c r="F23" s="278"/>
      <c r="G23" s="278"/>
      <c r="H23" s="278"/>
      <c r="I23" s="279"/>
      <c r="J23" s="280" t="s">
        <v>203</v>
      </c>
      <c r="K23" s="281"/>
      <c r="L23" s="282"/>
      <c r="M23" s="283" t="s">
        <v>204</v>
      </c>
      <c r="N23" s="284"/>
      <c r="O23" s="285"/>
    </row>
    <row r="24" spans="3:35" x14ac:dyDescent="0.25">
      <c r="E24" s="214">
        <v>0.06</v>
      </c>
      <c r="F24" s="215">
        <v>0.06</v>
      </c>
      <c r="G24" s="215">
        <v>0.05</v>
      </c>
      <c r="H24" s="215">
        <v>0.04</v>
      </c>
      <c r="I24" s="216">
        <v>0.04</v>
      </c>
      <c r="J24" s="217">
        <v>0.05</v>
      </c>
      <c r="K24" s="218">
        <v>0.03</v>
      </c>
      <c r="L24" s="219">
        <v>7.0000000000000007E-2</v>
      </c>
      <c r="M24" s="220">
        <v>0.2</v>
      </c>
      <c r="N24" s="221">
        <v>0.1</v>
      </c>
      <c r="O24" s="222">
        <v>0.3</v>
      </c>
    </row>
    <row r="25" spans="3:35" ht="7.15" customHeight="1" thickBot="1" x14ac:dyDescent="0.3">
      <c r="E25" s="202"/>
      <c r="I25" s="203"/>
      <c r="J25" s="202"/>
      <c r="L25" s="203"/>
      <c r="M25" s="202"/>
      <c r="O25" s="203"/>
    </row>
    <row r="26" spans="3:35" ht="30" x14ac:dyDescent="0.25">
      <c r="C26" s="161" t="s">
        <v>205</v>
      </c>
      <c r="D26" s="200" t="s">
        <v>1</v>
      </c>
      <c r="E26" s="204" t="s">
        <v>2</v>
      </c>
      <c r="F26" s="161" t="s">
        <v>3</v>
      </c>
      <c r="G26" s="161" t="s">
        <v>4</v>
      </c>
      <c r="H26" s="161" t="s">
        <v>5</v>
      </c>
      <c r="I26" s="205" t="s">
        <v>6</v>
      </c>
      <c r="J26" s="204" t="s">
        <v>7</v>
      </c>
      <c r="K26" s="161" t="s">
        <v>8</v>
      </c>
      <c r="L26" s="205" t="s">
        <v>9</v>
      </c>
      <c r="M26" s="204" t="s">
        <v>10</v>
      </c>
      <c r="N26" s="161" t="s">
        <v>11</v>
      </c>
      <c r="O26" s="205" t="s">
        <v>12</v>
      </c>
      <c r="P26" s="213" t="s">
        <v>206</v>
      </c>
      <c r="Q26" s="161" t="s">
        <v>205</v>
      </c>
    </row>
    <row r="27" spans="3:35" x14ac:dyDescent="0.25">
      <c r="C27" s="28">
        <v>1</v>
      </c>
      <c r="D27" s="201" t="s">
        <v>15</v>
      </c>
      <c r="E27" s="206">
        <v>1.0380434782608694</v>
      </c>
      <c r="F27" s="21">
        <v>1.0152173913043478</v>
      </c>
      <c r="G27" s="21">
        <v>1</v>
      </c>
      <c r="H27" s="21">
        <v>1.1047092270853816</v>
      </c>
      <c r="I27" s="21">
        <v>1.3499192859177662</v>
      </c>
      <c r="J27" s="206">
        <v>1</v>
      </c>
      <c r="K27" s="21">
        <v>1</v>
      </c>
      <c r="L27" s="207">
        <v>1</v>
      </c>
      <c r="M27" s="21">
        <v>1.1096466369769731</v>
      </c>
      <c r="N27" s="21">
        <v>1.0075757575757576</v>
      </c>
      <c r="O27" s="207">
        <v>1.0218516388729155</v>
      </c>
      <c r="P27" s="211">
        <v>1</v>
      </c>
      <c r="Q27" s="250" t="s">
        <v>207</v>
      </c>
    </row>
    <row r="28" spans="3:35" x14ac:dyDescent="0.25">
      <c r="C28" s="28">
        <v>2</v>
      </c>
      <c r="D28" s="201" t="s">
        <v>13</v>
      </c>
      <c r="E28" s="206">
        <v>1.0102564102564102</v>
      </c>
      <c r="F28" s="21">
        <v>1.0391304347826087</v>
      </c>
      <c r="G28" s="21">
        <v>1</v>
      </c>
      <c r="H28" s="21">
        <v>0.95243015506856332</v>
      </c>
      <c r="I28" s="21">
        <v>1.0952234605244009</v>
      </c>
      <c r="J28" s="206">
        <v>1</v>
      </c>
      <c r="K28" s="21">
        <v>1</v>
      </c>
      <c r="L28" s="207">
        <v>1</v>
      </c>
      <c r="M28" s="21">
        <v>0.98775748805322705</v>
      </c>
      <c r="N28" s="21">
        <v>1.04</v>
      </c>
      <c r="O28" s="207">
        <v>1.1050603217158177</v>
      </c>
      <c r="P28" s="211">
        <v>0.99564870381338788</v>
      </c>
      <c r="Q28" s="250" t="s">
        <v>208</v>
      </c>
    </row>
    <row r="29" spans="3:35" x14ac:dyDescent="0.25">
      <c r="C29" s="28">
        <v>3</v>
      </c>
      <c r="D29" s="201" t="s">
        <v>16</v>
      </c>
      <c r="E29" s="206">
        <v>1.0270588235294118</v>
      </c>
      <c r="F29" s="21">
        <v>1.0361702127659576</v>
      </c>
      <c r="G29" s="21">
        <v>1</v>
      </c>
      <c r="H29" s="21">
        <v>1.0382114210845874</v>
      </c>
      <c r="I29" s="21">
        <v>1.7591623036649218</v>
      </c>
      <c r="J29" s="206">
        <v>1</v>
      </c>
      <c r="K29" s="21">
        <v>1</v>
      </c>
      <c r="L29" s="207">
        <v>1</v>
      </c>
      <c r="M29" s="21">
        <v>0.96795597155716073</v>
      </c>
      <c r="N29" s="21">
        <v>1.0097087378640777</v>
      </c>
      <c r="O29" s="207">
        <v>1.0222513089005236</v>
      </c>
      <c r="P29" s="211">
        <v>0.99359119431143217</v>
      </c>
      <c r="Q29" s="250" t="s">
        <v>209</v>
      </c>
    </row>
    <row r="30" spans="3:35" x14ac:dyDescent="0.25">
      <c r="C30" s="28">
        <v>4</v>
      </c>
      <c r="D30" s="201" t="s">
        <v>20</v>
      </c>
      <c r="E30" s="21">
        <v>0.94000000000000006</v>
      </c>
      <c r="F30" s="21">
        <v>1.1987951807228916</v>
      </c>
      <c r="G30" s="21">
        <v>1</v>
      </c>
      <c r="H30" s="21">
        <v>1.0959733575537389</v>
      </c>
      <c r="I30" s="21">
        <v>0.93652907234798022</v>
      </c>
      <c r="J30" s="206">
        <v>1</v>
      </c>
      <c r="K30" s="21">
        <v>1</v>
      </c>
      <c r="L30" s="207">
        <v>1</v>
      </c>
      <c r="M30" s="21">
        <v>1.1157649231625402</v>
      </c>
      <c r="N30" s="21">
        <v>1.0084745762711864</v>
      </c>
      <c r="O30" s="21">
        <v>0.96417445482866049</v>
      </c>
      <c r="P30" s="211">
        <v>0.98311349934251735</v>
      </c>
      <c r="Q30" s="250" t="s">
        <v>210</v>
      </c>
    </row>
    <row r="31" spans="3:35" x14ac:dyDescent="0.25">
      <c r="C31" s="28">
        <v>5</v>
      </c>
      <c r="D31" s="201" t="s">
        <v>23</v>
      </c>
      <c r="E31" s="206">
        <v>1.0133333333333334</v>
      </c>
      <c r="F31" s="21">
        <v>1.0626506024096387</v>
      </c>
      <c r="G31" s="21">
        <v>1</v>
      </c>
      <c r="H31" s="21">
        <v>0.96594982078853042</v>
      </c>
      <c r="I31" s="21">
        <v>1.0182194081922726</v>
      </c>
      <c r="J31" s="206">
        <v>1</v>
      </c>
      <c r="K31" s="21" t="s">
        <v>188</v>
      </c>
      <c r="L31" s="207">
        <v>1</v>
      </c>
      <c r="M31" s="21">
        <v>1.2028302115977942</v>
      </c>
      <c r="N31" s="21">
        <v>0.98561151079136711</v>
      </c>
      <c r="O31" s="21">
        <v>0.9027522935779817</v>
      </c>
      <c r="P31" s="211">
        <v>0.96802483198407252</v>
      </c>
      <c r="Q31" s="250" t="s">
        <v>211</v>
      </c>
    </row>
    <row r="32" spans="3:35" x14ac:dyDescent="0.25">
      <c r="C32" s="28">
        <v>6</v>
      </c>
      <c r="D32" s="201" t="s">
        <v>19</v>
      </c>
      <c r="E32" s="206">
        <v>1.0657142857142858</v>
      </c>
      <c r="F32" s="21">
        <v>1.1373493975903615</v>
      </c>
      <c r="G32" s="21">
        <v>1</v>
      </c>
      <c r="H32" s="21">
        <v>1.0679722394008107</v>
      </c>
      <c r="I32" s="21">
        <v>1.0444601270289349</v>
      </c>
      <c r="J32" s="206">
        <v>1</v>
      </c>
      <c r="K32" s="21">
        <v>1</v>
      </c>
      <c r="L32" s="207">
        <v>1</v>
      </c>
      <c r="M32" s="21">
        <v>1.0966270433575429</v>
      </c>
      <c r="N32" s="21">
        <v>0.94</v>
      </c>
      <c r="O32" s="21">
        <v>0.88020833333333337</v>
      </c>
      <c r="P32" s="211">
        <v>0.95806249999999993</v>
      </c>
      <c r="Q32" s="250" t="s">
        <v>212</v>
      </c>
    </row>
    <row r="33" spans="3:17" x14ac:dyDescent="0.25">
      <c r="C33" s="28">
        <v>7</v>
      </c>
      <c r="D33" s="201" t="s">
        <v>21</v>
      </c>
      <c r="E33" s="223">
        <v>0.82285714285714284</v>
      </c>
      <c r="F33" s="21">
        <v>1.0879518072289158</v>
      </c>
      <c r="G33" s="21">
        <v>1</v>
      </c>
      <c r="H33" s="21">
        <v>0.95610746641674482</v>
      </c>
      <c r="I33" s="21">
        <v>0.8630079597821535</v>
      </c>
      <c r="J33" s="206">
        <v>1</v>
      </c>
      <c r="K33" s="21">
        <v>1</v>
      </c>
      <c r="L33" s="207">
        <v>1</v>
      </c>
      <c r="M33" s="21">
        <v>1.1609117491571079</v>
      </c>
      <c r="N33" s="21">
        <v>1.173913043478261</v>
      </c>
      <c r="O33" s="21">
        <v>0.90752351097178685</v>
      </c>
      <c r="P33" s="211">
        <v>0.9543930989109205</v>
      </c>
      <c r="Q33" s="250" t="s">
        <v>213</v>
      </c>
    </row>
    <row r="34" spans="3:17" x14ac:dyDescent="0.25">
      <c r="C34" s="28">
        <v>8</v>
      </c>
      <c r="D34" s="201" t="s">
        <v>17</v>
      </c>
      <c r="E34" s="206">
        <v>1.0220930232558141</v>
      </c>
      <c r="F34" s="21">
        <v>1.0888888888888888</v>
      </c>
      <c r="G34" s="21">
        <v>1</v>
      </c>
      <c r="H34" s="21">
        <v>1.0886912904696762</v>
      </c>
      <c r="I34" s="21">
        <v>1.3168086754453909</v>
      </c>
      <c r="J34" s="206">
        <v>1</v>
      </c>
      <c r="K34" s="21">
        <v>1</v>
      </c>
      <c r="L34" s="207">
        <v>1</v>
      </c>
      <c r="M34" s="21">
        <v>0.9543416167882024</v>
      </c>
      <c r="N34" s="21">
        <v>0.98701298701298701</v>
      </c>
      <c r="O34" s="21">
        <v>0.86082949308755763</v>
      </c>
      <c r="P34" s="211">
        <v>0.94781846998520636</v>
      </c>
      <c r="Q34" s="250" t="s">
        <v>214</v>
      </c>
    </row>
    <row r="35" spans="3:17" x14ac:dyDescent="0.25">
      <c r="C35" s="28">
        <v>9</v>
      </c>
      <c r="D35" s="201" t="s">
        <v>22</v>
      </c>
      <c r="E35" s="206">
        <v>1.0871428571428572</v>
      </c>
      <c r="F35" s="21">
        <v>1.0863636363636364</v>
      </c>
      <c r="G35" s="21">
        <v>1</v>
      </c>
      <c r="H35" s="21">
        <v>1.1111111111111112</v>
      </c>
      <c r="I35" s="21">
        <v>1.0688926229063902</v>
      </c>
      <c r="J35" s="206">
        <v>1</v>
      </c>
      <c r="K35" s="21">
        <v>1</v>
      </c>
      <c r="L35" s="207">
        <v>1</v>
      </c>
      <c r="M35" s="21">
        <v>0.96635559034971086</v>
      </c>
      <c r="N35" s="21">
        <v>0.97959183673469385</v>
      </c>
      <c r="O35" s="21">
        <v>0.849705304518664</v>
      </c>
      <c r="P35" s="211">
        <v>0.94614189309901087</v>
      </c>
      <c r="Q35" s="250" t="s">
        <v>215</v>
      </c>
    </row>
    <row r="36" spans="3:17" x14ac:dyDescent="0.25">
      <c r="C36" s="28">
        <v>10</v>
      </c>
      <c r="D36" s="201" t="s">
        <v>26</v>
      </c>
      <c r="E36" s="206">
        <v>1.0541176470588236</v>
      </c>
      <c r="F36" s="21">
        <v>1.0666666666666667</v>
      </c>
      <c r="G36" s="21">
        <v>1</v>
      </c>
      <c r="H36" s="21">
        <v>1.0687884430901191</v>
      </c>
      <c r="I36" s="21">
        <v>0.92015514243680618</v>
      </c>
      <c r="J36" s="206">
        <v>1</v>
      </c>
      <c r="K36" s="21" t="s">
        <v>188</v>
      </c>
      <c r="L36" s="207">
        <v>1</v>
      </c>
      <c r="M36" s="227">
        <v>0.72591119110016522</v>
      </c>
      <c r="N36" s="21">
        <v>0.94186046511627919</v>
      </c>
      <c r="O36" s="21">
        <v>0.98014440433213001</v>
      </c>
      <c r="P36" s="211">
        <v>0.93021781172877227</v>
      </c>
      <c r="Q36" s="250" t="s">
        <v>216</v>
      </c>
    </row>
    <row r="37" spans="3:17" x14ac:dyDescent="0.25">
      <c r="C37" s="28">
        <v>11</v>
      </c>
      <c r="D37" s="201" t="s">
        <v>18</v>
      </c>
      <c r="E37" s="206">
        <v>1.0574468085106383</v>
      </c>
      <c r="F37" s="21">
        <v>1.04</v>
      </c>
      <c r="G37" s="21">
        <v>1</v>
      </c>
      <c r="H37" s="21">
        <v>0.99951652601969054</v>
      </c>
      <c r="I37" s="21">
        <v>1.0605033612978498</v>
      </c>
      <c r="J37" s="206">
        <v>1</v>
      </c>
      <c r="K37" s="21" t="s">
        <v>188</v>
      </c>
      <c r="L37" s="207">
        <v>1</v>
      </c>
      <c r="M37" s="21">
        <v>1.0496712276799058</v>
      </c>
      <c r="N37" s="21">
        <v>1</v>
      </c>
      <c r="O37" s="225">
        <v>0.74317492416582409</v>
      </c>
      <c r="P37" s="211">
        <v>0.9229331382905348</v>
      </c>
      <c r="Q37" s="250" t="s">
        <v>217</v>
      </c>
    </row>
    <row r="38" spans="3:17" x14ac:dyDescent="0.25">
      <c r="C38" s="28">
        <v>12</v>
      </c>
      <c r="D38" s="201" t="s">
        <v>25</v>
      </c>
      <c r="E38" s="206">
        <v>1.0809523809523811</v>
      </c>
      <c r="F38" s="21">
        <v>1.0588888888888888</v>
      </c>
      <c r="G38" s="21">
        <v>1</v>
      </c>
      <c r="H38" s="21">
        <v>0.98309178743961345</v>
      </c>
      <c r="I38" s="21">
        <v>1.1204013377926418</v>
      </c>
      <c r="J38" s="223">
        <v>0.4</v>
      </c>
      <c r="K38" s="21" t="s">
        <v>188</v>
      </c>
      <c r="L38" s="207">
        <v>1</v>
      </c>
      <c r="M38" s="21">
        <v>0.85629801799178928</v>
      </c>
      <c r="N38" s="21">
        <v>1.2283464566929134</v>
      </c>
      <c r="O38" s="21">
        <v>0.85110470701248797</v>
      </c>
      <c r="P38" s="211">
        <v>0.89591468719968881</v>
      </c>
      <c r="Q38" s="250" t="s">
        <v>218</v>
      </c>
    </row>
    <row r="39" spans="3:17" x14ac:dyDescent="0.25">
      <c r="C39" s="28">
        <v>13</v>
      </c>
      <c r="D39" s="201" t="s">
        <v>27</v>
      </c>
      <c r="E39" s="223">
        <v>0.76571428571428579</v>
      </c>
      <c r="F39" s="21">
        <v>1.0522727272727272</v>
      </c>
      <c r="G39" s="21">
        <v>1</v>
      </c>
      <c r="H39" s="21">
        <v>0.88695569789188755</v>
      </c>
      <c r="I39" s="225">
        <v>0.75887761572606216</v>
      </c>
      <c r="J39" s="206">
        <v>1</v>
      </c>
      <c r="K39" s="21" t="s">
        <v>188</v>
      </c>
      <c r="L39" s="207">
        <v>1</v>
      </c>
      <c r="M39" s="206">
        <v>1.0255962807359507</v>
      </c>
      <c r="N39" s="227">
        <v>0.79842431063590313</v>
      </c>
      <c r="O39" s="225">
        <v>0.79114642451759365</v>
      </c>
      <c r="P39" s="211">
        <v>0.88896254810644371</v>
      </c>
      <c r="Q39" s="250" t="s">
        <v>219</v>
      </c>
    </row>
    <row r="40" spans="3:17" ht="15.75" thickBot="1" x14ac:dyDescent="0.3">
      <c r="C40" s="28">
        <v>14</v>
      </c>
      <c r="D40" s="201" t="s">
        <v>78</v>
      </c>
      <c r="E40" s="208" t="s">
        <v>188</v>
      </c>
      <c r="F40" s="209" t="s">
        <v>188</v>
      </c>
      <c r="G40" s="209">
        <v>1</v>
      </c>
      <c r="H40" s="224">
        <v>0.58751204984320093</v>
      </c>
      <c r="I40" s="226">
        <v>0.74494398370435022</v>
      </c>
      <c r="J40" s="208">
        <v>0.8</v>
      </c>
      <c r="K40" s="209" t="s">
        <v>188</v>
      </c>
      <c r="L40" s="210">
        <v>1</v>
      </c>
      <c r="M40" s="21">
        <v>0.85062499999999996</v>
      </c>
      <c r="N40" s="224">
        <v>0.83144991380961508</v>
      </c>
      <c r="O40" s="226">
        <v>0.81005586592178769</v>
      </c>
      <c r="P40" s="212">
        <v>0.83594359613096481</v>
      </c>
      <c r="Q40" s="250" t="s">
        <v>224</v>
      </c>
    </row>
    <row r="42" spans="3:17" x14ac:dyDescent="0.25">
      <c r="C42" s="228"/>
      <c r="D42" s="229" t="s">
        <v>221</v>
      </c>
      <c r="E42" s="21"/>
      <c r="G42" s="21">
        <v>0.99</v>
      </c>
    </row>
    <row r="46" spans="3:17" ht="15.75" thickBot="1" x14ac:dyDescent="0.3"/>
    <row r="47" spans="3:17" x14ac:dyDescent="0.25">
      <c r="E47" s="277" t="s">
        <v>225</v>
      </c>
      <c r="F47" s="278"/>
      <c r="G47" s="278"/>
      <c r="H47" s="278"/>
      <c r="I47" s="279"/>
      <c r="J47" s="280" t="s">
        <v>203</v>
      </c>
      <c r="K47" s="281"/>
      <c r="L47" s="282"/>
      <c r="M47" s="283" t="s">
        <v>226</v>
      </c>
      <c r="N47" s="284"/>
      <c r="O47" s="285"/>
      <c r="P47" s="235" t="s">
        <v>173</v>
      </c>
    </row>
    <row r="48" spans="3:17" x14ac:dyDescent="0.25">
      <c r="E48" s="214" t="s">
        <v>188</v>
      </c>
      <c r="F48" s="215" t="s">
        <v>188</v>
      </c>
      <c r="G48" s="215">
        <v>0.05</v>
      </c>
      <c r="H48" s="215">
        <v>0.05</v>
      </c>
      <c r="I48" s="216">
        <v>0.05</v>
      </c>
      <c r="J48" s="217">
        <v>0.05</v>
      </c>
      <c r="K48" s="218" t="s">
        <v>188</v>
      </c>
      <c r="L48" s="219">
        <v>0.1</v>
      </c>
      <c r="M48" s="220">
        <v>0.25</v>
      </c>
      <c r="N48" s="221">
        <v>0.1</v>
      </c>
      <c r="O48" s="222">
        <v>0.35</v>
      </c>
      <c r="P48" s="251">
        <f>SUM(E48:O48)</f>
        <v>1</v>
      </c>
    </row>
    <row r="49" spans="3:17" ht="5.0999999999999996" customHeight="1" thickBot="1" x14ac:dyDescent="0.3"/>
    <row r="50" spans="3:17" ht="30" x14ac:dyDescent="0.25">
      <c r="C50" s="28" t="s">
        <v>205</v>
      </c>
      <c r="D50" s="231" t="s">
        <v>1</v>
      </c>
      <c r="E50" s="204" t="s">
        <v>2</v>
      </c>
      <c r="F50" s="161" t="s">
        <v>3</v>
      </c>
      <c r="G50" s="161" t="s">
        <v>4</v>
      </c>
      <c r="H50" s="161" t="s">
        <v>5</v>
      </c>
      <c r="I50" s="205" t="s">
        <v>6</v>
      </c>
      <c r="J50" s="204" t="s">
        <v>7</v>
      </c>
      <c r="K50" s="161" t="s">
        <v>8</v>
      </c>
      <c r="L50" s="205" t="s">
        <v>9</v>
      </c>
      <c r="M50" s="204" t="s">
        <v>10</v>
      </c>
      <c r="N50" s="161" t="s">
        <v>11</v>
      </c>
      <c r="O50" s="200" t="s">
        <v>12</v>
      </c>
      <c r="P50" s="213" t="s">
        <v>227</v>
      </c>
    </row>
    <row r="51" spans="3:17" ht="19.5" thickBot="1" x14ac:dyDescent="0.3">
      <c r="C51" s="23" t="str">
        <f>VLOOKUP($D$51,$D$26:$Q$40,Q22,FALSE)</f>
        <v>15/15</v>
      </c>
      <c r="D51" s="233" t="s">
        <v>78</v>
      </c>
      <c r="E51" s="232" t="str">
        <f>VLOOKUP($D$51,$D$26:$Q$40,E22,FALSE)</f>
        <v>NA</v>
      </c>
      <c r="F51" s="21" t="str">
        <f t="shared" ref="F51:P51" si="0">VLOOKUP($D$51,$D$26:$Q$40,F22,FALSE)</f>
        <v>NA</v>
      </c>
      <c r="G51" s="21">
        <f t="shared" si="0"/>
        <v>1</v>
      </c>
      <c r="H51" s="21">
        <f t="shared" si="0"/>
        <v>0.58751204984320093</v>
      </c>
      <c r="I51" s="230">
        <f t="shared" si="0"/>
        <v>0.74494398370435022</v>
      </c>
      <c r="J51" s="206">
        <f t="shared" si="0"/>
        <v>0.8</v>
      </c>
      <c r="K51" s="21" t="str">
        <f t="shared" si="0"/>
        <v>NA</v>
      </c>
      <c r="L51" s="230">
        <f t="shared" si="0"/>
        <v>1</v>
      </c>
      <c r="M51" s="206">
        <f t="shared" si="0"/>
        <v>0.85062499999999996</v>
      </c>
      <c r="N51" s="21">
        <f t="shared" si="0"/>
        <v>0.83144991380961508</v>
      </c>
      <c r="O51" s="230">
        <f t="shared" si="0"/>
        <v>0.81005586592178769</v>
      </c>
      <c r="P51" s="234">
        <f t="shared" si="0"/>
        <v>0.83594359613096481</v>
      </c>
    </row>
    <row r="55" spans="3:17" ht="15.75" thickBot="1" x14ac:dyDescent="0.3">
      <c r="E55" s="252"/>
      <c r="F55" s="252"/>
      <c r="G55" s="252"/>
      <c r="H55" s="252"/>
      <c r="I55" s="252"/>
      <c r="J55" s="252"/>
    </row>
    <row r="56" spans="3:17" x14ac:dyDescent="0.25">
      <c r="E56" s="288" t="s">
        <v>202</v>
      </c>
      <c r="F56" s="289"/>
      <c r="G56" s="289"/>
      <c r="H56" s="289"/>
      <c r="I56" s="289"/>
      <c r="J56" s="289"/>
      <c r="K56" s="280" t="s">
        <v>203</v>
      </c>
      <c r="L56" s="281"/>
      <c r="M56" s="282"/>
      <c r="N56" s="283" t="s">
        <v>226</v>
      </c>
      <c r="O56" s="284"/>
      <c r="P56" s="285"/>
      <c r="Q56" s="235" t="s">
        <v>173</v>
      </c>
    </row>
    <row r="57" spans="3:17" x14ac:dyDescent="0.25">
      <c r="E57" s="214">
        <v>0.06</v>
      </c>
      <c r="F57" s="215">
        <v>0.06</v>
      </c>
      <c r="G57" s="215">
        <v>0.05</v>
      </c>
      <c r="H57" s="215">
        <v>0.04</v>
      </c>
      <c r="I57" s="287">
        <v>0.04</v>
      </c>
      <c r="J57" s="287"/>
      <c r="K57" s="217">
        <v>0.05</v>
      </c>
      <c r="L57" s="218" t="s">
        <v>188</v>
      </c>
      <c r="M57" s="219">
        <v>0.1</v>
      </c>
      <c r="N57" s="220">
        <v>0.2</v>
      </c>
      <c r="O57" s="221">
        <v>0.1</v>
      </c>
      <c r="P57" s="222">
        <v>0.3</v>
      </c>
      <c r="Q57" s="251">
        <f>SUM(E57:P57)</f>
        <v>1</v>
      </c>
    </row>
    <row r="58" spans="3:17" ht="6" customHeight="1" thickBot="1" x14ac:dyDescent="0.3"/>
    <row r="59" spans="3:17" ht="30" x14ac:dyDescent="0.25">
      <c r="C59" s="28" t="s">
        <v>205</v>
      </c>
      <c r="D59" s="231" t="s">
        <v>1</v>
      </c>
      <c r="E59" s="204" t="s">
        <v>2</v>
      </c>
      <c r="F59" s="161" t="s">
        <v>3</v>
      </c>
      <c r="G59" s="161" t="s">
        <v>4</v>
      </c>
      <c r="H59" s="161" t="s">
        <v>5</v>
      </c>
      <c r="I59" s="286" t="s">
        <v>6</v>
      </c>
      <c r="J59" s="286"/>
      <c r="K59" s="204" t="s">
        <v>7</v>
      </c>
      <c r="L59" s="161" t="s">
        <v>8</v>
      </c>
      <c r="M59" s="205" t="s">
        <v>9</v>
      </c>
      <c r="N59" s="204" t="s">
        <v>10</v>
      </c>
      <c r="O59" s="161" t="s">
        <v>11</v>
      </c>
      <c r="P59" s="200" t="s">
        <v>12</v>
      </c>
      <c r="Q59" s="213" t="s">
        <v>227</v>
      </c>
    </row>
    <row r="60" spans="3:17" ht="19.5" thickBot="1" x14ac:dyDescent="0.3">
      <c r="C60" s="23" t="s">
        <v>220</v>
      </c>
      <c r="D60" s="233" t="s">
        <v>27</v>
      </c>
      <c r="E60" s="232">
        <v>0.76571428571428579</v>
      </c>
      <c r="F60" s="21">
        <v>1.0522727272727272</v>
      </c>
      <c r="G60" s="21">
        <v>1</v>
      </c>
      <c r="H60" s="230">
        <v>0.88695569789188755</v>
      </c>
      <c r="I60" s="253" t="s">
        <v>222</v>
      </c>
      <c r="J60" s="254" t="s">
        <v>223</v>
      </c>
      <c r="K60" s="206">
        <v>1</v>
      </c>
      <c r="L60" s="21" t="s">
        <v>188</v>
      </c>
      <c r="M60" s="230">
        <v>1</v>
      </c>
      <c r="N60" s="206">
        <v>1.0255962807359507</v>
      </c>
      <c r="O60" s="21">
        <v>0.79842431063590313</v>
      </c>
      <c r="P60" s="230">
        <v>0.79114642451759365</v>
      </c>
      <c r="Q60" s="234">
        <v>0.88896254810644371</v>
      </c>
    </row>
  </sheetData>
  <sortState xmlns:xlrd2="http://schemas.microsoft.com/office/spreadsheetml/2017/richdata2" ref="AC5:AD21">
    <sortCondition ref="AC5:AC21"/>
  </sortState>
  <mergeCells count="11">
    <mergeCell ref="I59:J59"/>
    <mergeCell ref="K56:M56"/>
    <mergeCell ref="N56:P56"/>
    <mergeCell ref="I57:J57"/>
    <mergeCell ref="E56:J56"/>
    <mergeCell ref="E23:I23"/>
    <mergeCell ref="J23:L23"/>
    <mergeCell ref="M23:O23"/>
    <mergeCell ref="E47:I47"/>
    <mergeCell ref="J47:L47"/>
    <mergeCell ref="M47:O47"/>
  </mergeCells>
  <conditionalFormatting sqref="E27:E29 E31:E32">
    <cfRule type="cellIs" dxfId="55" priority="33" operator="lessThan">
      <formula>1</formula>
    </cfRule>
  </conditionalFormatting>
  <conditionalFormatting sqref="E30">
    <cfRule type="cellIs" dxfId="54" priority="2" operator="lessThan">
      <formula>0.95</formula>
    </cfRule>
    <cfRule type="cellIs" dxfId="53" priority="3" operator="between">
      <formula>0.99</formula>
      <formula>0.95</formula>
    </cfRule>
  </conditionalFormatting>
  <conditionalFormatting sqref="E42">
    <cfRule type="cellIs" dxfId="52" priority="5" operator="lessThan">
      <formula>0.95</formula>
    </cfRule>
    <cfRule type="cellIs" dxfId="51" priority="6" operator="between">
      <formula>0.99</formula>
      <formula>0.95</formula>
    </cfRule>
  </conditionalFormatting>
  <conditionalFormatting sqref="G42">
    <cfRule type="cellIs" dxfId="50" priority="4" operator="between">
      <formula>0.99</formula>
      <formula>0.95</formula>
    </cfRule>
  </conditionalFormatting>
  <conditionalFormatting sqref="H27:H40">
    <cfRule type="cellIs" dxfId="49" priority="32" operator="between">
      <formula>0.99</formula>
      <formula>0.95</formula>
    </cfRule>
  </conditionalFormatting>
  <conditionalFormatting sqref="H39">
    <cfRule type="cellIs" dxfId="48" priority="31" operator="lessThan">
      <formula>0.95</formula>
    </cfRule>
  </conditionalFormatting>
  <conditionalFormatting sqref="I27:I38">
    <cfRule type="cellIs" dxfId="47" priority="25" operator="between">
      <formula>0.99</formula>
      <formula>0.95</formula>
    </cfRule>
  </conditionalFormatting>
  <conditionalFormatting sqref="I30">
    <cfRule type="cellIs" dxfId="46" priority="28" operator="lessThan">
      <formula>0.95</formula>
    </cfRule>
  </conditionalFormatting>
  <conditionalFormatting sqref="I33">
    <cfRule type="cellIs" dxfId="45" priority="26" operator="lessThan">
      <formula>0.95</formula>
    </cfRule>
  </conditionalFormatting>
  <conditionalFormatting sqref="I36">
    <cfRule type="cellIs" dxfId="44" priority="24" operator="lessThan">
      <formula>0.95</formula>
    </cfRule>
  </conditionalFormatting>
  <conditionalFormatting sqref="M27:M38">
    <cfRule type="cellIs" dxfId="43" priority="22" operator="between">
      <formula>0.99</formula>
      <formula>0.95</formula>
    </cfRule>
  </conditionalFormatting>
  <conditionalFormatting sqref="M38">
    <cfRule type="cellIs" dxfId="42" priority="21" operator="lessThan">
      <formula>0.95</formula>
    </cfRule>
  </conditionalFormatting>
  <conditionalFormatting sqref="M40">
    <cfRule type="cellIs" dxfId="41" priority="19" operator="lessThan">
      <formula>0.95</formula>
    </cfRule>
    <cfRule type="cellIs" dxfId="40" priority="20" operator="between">
      <formula>0.99</formula>
      <formula>0.95</formula>
    </cfRule>
  </conditionalFormatting>
  <conditionalFormatting sqref="N31:N32">
    <cfRule type="cellIs" dxfId="39" priority="9" operator="between">
      <formula>0.99</formula>
      <formula>0.95</formula>
    </cfRule>
  </conditionalFormatting>
  <conditionalFormatting sqref="N32">
    <cfRule type="cellIs" dxfId="38" priority="10" operator="lessThan">
      <formula>0.95</formula>
    </cfRule>
  </conditionalFormatting>
  <conditionalFormatting sqref="N34:N36">
    <cfRule type="cellIs" dxfId="37" priority="17" operator="between">
      <formula>0.99</formula>
      <formula>0.95</formula>
    </cfRule>
  </conditionalFormatting>
  <conditionalFormatting sqref="N36">
    <cfRule type="cellIs" dxfId="36" priority="16" operator="lessThan">
      <formula>0.95</formula>
    </cfRule>
  </conditionalFormatting>
  <conditionalFormatting sqref="O30:O36">
    <cfRule type="cellIs" dxfId="35" priority="13" operator="between">
      <formula>0.99</formula>
      <formula>0.95</formula>
    </cfRule>
  </conditionalFormatting>
  <conditionalFormatting sqref="O31:O36">
    <cfRule type="cellIs" dxfId="34" priority="14" operator="lessThan">
      <formula>0.95</formula>
    </cfRule>
  </conditionalFormatting>
  <conditionalFormatting sqref="O38">
    <cfRule type="cellIs" dxfId="33" priority="7" operator="lessThan">
      <formula>0.95</formula>
    </cfRule>
    <cfRule type="cellIs" dxfId="32" priority="8" operator="between">
      <formula>0.99</formula>
      <formula>0.95</formula>
    </cfRule>
  </conditionalFormatting>
  <conditionalFormatting sqref="P27:P40">
    <cfRule type="cellIs" dxfId="31" priority="34" operator="lessThan">
      <formula>0.9</formula>
    </cfRule>
  </conditionalFormatting>
  <conditionalFormatting sqref="P5:P19">
    <cfRule type="cellIs" dxfId="26" priority="1" operator="lessThan">
      <formula>0.9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7B45-1FB5-490B-AAEF-9793F4181BA2}">
  <sheetPr codeName="Hoja9"/>
  <dimension ref="B3:O72"/>
  <sheetViews>
    <sheetView showGridLines="0" zoomScale="70" zoomScaleNormal="70" workbookViewId="0">
      <selection activeCell="P20" sqref="P20"/>
    </sheetView>
  </sheetViews>
  <sheetFormatPr baseColWidth="10" defaultColWidth="8.85546875" defaultRowHeight="15" x14ac:dyDescent="0.25"/>
  <cols>
    <col min="1" max="1" width="6.28515625" customWidth="1"/>
    <col min="2" max="2" width="10.7109375" customWidth="1"/>
    <col min="7" max="7" width="11.42578125" customWidth="1"/>
    <col min="9" max="9" width="11.7109375" customWidth="1"/>
    <col min="15" max="15" width="11.42578125" customWidth="1"/>
  </cols>
  <sheetData>
    <row r="3" spans="2:15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O3" s="25" t="s">
        <v>199</v>
      </c>
    </row>
    <row r="4" spans="2:15" x14ac:dyDescent="0.25">
      <c r="B4" s="14" t="s">
        <v>13</v>
      </c>
      <c r="C4" s="27">
        <f>VLOOKUP(B4,'OR SEP'!$B$22:$E$36,'OR SEP'!$C$21,FALSE)</f>
        <v>1.0102564102564102</v>
      </c>
      <c r="D4" s="27">
        <f>VLOOKUP(B4,'OR SEP'!$B$22:$E$36,'OR SEP'!$D$21,FALSE)</f>
        <v>1.0391304347826087</v>
      </c>
      <c r="E4" s="30">
        <v>1</v>
      </c>
      <c r="F4" s="27">
        <f>VLOOKUP(B4,'OR SEP'!$AG$4:$AH$23,'OR SEP'!$AH$3,FALSE)</f>
        <v>0.95243015506856332</v>
      </c>
      <c r="G4" s="27">
        <f>VLOOKUP(B4,'OR SEP'!$W$4:$Z$20,'OR SEP'!$Z$3,FALSE)</f>
        <v>1.0952234605244009</v>
      </c>
      <c r="H4" s="27">
        <f>VLOOKUP(B4,'OR SEP'!$AB$4:$AC$19,'OR SEP'!$AC$3,FALSE)</f>
        <v>1</v>
      </c>
      <c r="I4" s="30">
        <v>1</v>
      </c>
      <c r="J4" s="30">
        <v>1</v>
      </c>
      <c r="K4" s="27">
        <f>VLOOKUP(B4,'OR SEP'!$J$42:$M$57,'OR SEP'!$K$41,FALSE)</f>
        <v>0.98775748805322705</v>
      </c>
      <c r="L4" s="27">
        <f>VLOOKUP(B4,'OR SEP'!$J$42:$M$57,'OR SEP'!$L$41,FALSE)</f>
        <v>1.04</v>
      </c>
      <c r="M4" s="27">
        <f>VLOOKUP(B4,'OR SEP'!$AK$4:$AL$19,'OR SEP'!$AL$3,FALSE)</f>
        <v>1.1050603217158177</v>
      </c>
      <c r="O4" s="21">
        <v>0.99564870381338788</v>
      </c>
    </row>
    <row r="5" spans="2:15" x14ac:dyDescent="0.25">
      <c r="B5" s="14" t="s">
        <v>14</v>
      </c>
      <c r="C5" s="27">
        <f>VLOOKUP(B5,'OR SEP'!$B$22:$E$36,'OR SEP'!$C$21,FALSE)</f>
        <v>1.026829268292683</v>
      </c>
      <c r="D5" s="27">
        <f>VLOOKUP(B5,'OR SEP'!$B$22:$E$36,'OR SEP'!$D$21,FALSE)</f>
        <v>1.0109890109890109</v>
      </c>
      <c r="E5" s="30">
        <v>1</v>
      </c>
      <c r="F5" s="27">
        <f>VLOOKUP(B5,'OR SEP'!$AG$4:$AH$23,'OR SEP'!$AH$3,FALSE)</f>
        <v>0</v>
      </c>
      <c r="G5" s="27">
        <f>VLOOKUP(B5,'OR SEP'!$W$4:$Z$20,'OR SEP'!$Z$3,FALSE)</f>
        <v>1.0695402273164061</v>
      </c>
      <c r="H5" s="27">
        <f>VLOOKUP(B5,'OR SEP'!$AB$4:$AC$19,'OR SEP'!$AC$3,FALSE)</f>
        <v>1</v>
      </c>
      <c r="I5" s="30">
        <v>1</v>
      </c>
      <c r="J5" s="30">
        <v>1</v>
      </c>
      <c r="K5" s="27">
        <f>VLOOKUP(B5,'OR SEP'!$J$42:$M$57,'OR SEP'!$K$41,FALSE)</f>
        <v>0.75890214819203028</v>
      </c>
      <c r="L5" s="27">
        <f>VLOOKUP(B5,'OR SEP'!$J$42:$M$57,'OR SEP'!$L$41,FALSE)</f>
        <v>1</v>
      </c>
      <c r="M5" s="27">
        <f>VLOOKUP(B5,'OR SEP'!$AK$4:$AL$19,'OR SEP'!$AL$3,FALSE)</f>
        <v>0.8411837237977805</v>
      </c>
      <c r="O5" s="21">
        <v>0.86413554677774018</v>
      </c>
    </row>
    <row r="6" spans="2:15" x14ac:dyDescent="0.25">
      <c r="B6" s="14" t="s">
        <v>15</v>
      </c>
      <c r="C6" s="27">
        <f>VLOOKUP(B6,'OR SEP'!$B$22:$E$36,'OR SEP'!$C$21,FALSE)</f>
        <v>1.0380434782608694</v>
      </c>
      <c r="D6" s="27">
        <f>VLOOKUP(B6,'OR SEP'!$B$22:$E$36,'OR SEP'!$D$21,FALSE)</f>
        <v>1.0152173913043478</v>
      </c>
      <c r="E6" s="30">
        <v>1</v>
      </c>
      <c r="F6" s="27">
        <f>VLOOKUP(B6,'OR SEP'!$AG$4:$AH$23,'OR SEP'!$AH$3,FALSE)</f>
        <v>1.1047092270853816</v>
      </c>
      <c r="G6" s="27">
        <f>VLOOKUP(B6,'OR SEP'!$W$4:$Z$20,'OR SEP'!$Z$3,FALSE)</f>
        <v>1.3499192859177662</v>
      </c>
      <c r="H6" s="27">
        <f>VLOOKUP(B6,'OR SEP'!$AB$4:$AC$19,'OR SEP'!$AC$3,FALSE)</f>
        <v>1</v>
      </c>
      <c r="I6" s="30">
        <v>1</v>
      </c>
      <c r="J6" s="30">
        <v>1</v>
      </c>
      <c r="K6" s="27">
        <f>VLOOKUP(B6,'OR SEP'!$J$42:$M$57,'OR SEP'!$K$41,FALSE)</f>
        <v>1.1096466369769731</v>
      </c>
      <c r="L6" s="27">
        <f>VLOOKUP(B6,'OR SEP'!$J$42:$M$57,'OR SEP'!$L$41,FALSE)</f>
        <v>1.0075757575757576</v>
      </c>
      <c r="M6" s="27">
        <f>VLOOKUP(B6,'OR SEP'!$AK$4:$AL$19,'OR SEP'!$AL$3,FALSE)</f>
        <v>1.0218516388729155</v>
      </c>
      <c r="O6" s="21">
        <v>1</v>
      </c>
    </row>
    <row r="7" spans="2:15" x14ac:dyDescent="0.25">
      <c r="B7" s="14" t="s">
        <v>16</v>
      </c>
      <c r="C7" s="27">
        <f>VLOOKUP(B7,'OR SEP'!$B$22:$E$36,'OR SEP'!$C$21,FALSE)</f>
        <v>1.0270588235294118</v>
      </c>
      <c r="D7" s="27">
        <f>VLOOKUP(B7,'OR SEP'!$B$22:$E$36,'OR SEP'!$D$21,FALSE)</f>
        <v>1.0361702127659576</v>
      </c>
      <c r="E7" s="30">
        <v>1</v>
      </c>
      <c r="F7" s="27">
        <f>VLOOKUP(B7,'OR SEP'!$AG$4:$AH$23,'OR SEP'!$AH$3,FALSE)</f>
        <v>1.0382114210845874</v>
      </c>
      <c r="G7" s="27">
        <f>VLOOKUP(B7,'OR SEP'!$W$4:$Z$20,'OR SEP'!$Z$3,FALSE)</f>
        <v>1.7591623036649218</v>
      </c>
      <c r="H7" s="27">
        <f>VLOOKUP(B7,'OR SEP'!$AB$4:$AC$19,'OR SEP'!$AC$3,FALSE)</f>
        <v>1</v>
      </c>
      <c r="I7" s="30">
        <v>1</v>
      </c>
      <c r="J7" s="30">
        <v>1</v>
      </c>
      <c r="K7" s="27">
        <f>VLOOKUP(B7,'OR SEP'!$J$42:$M$57,'OR SEP'!$K$41,FALSE)</f>
        <v>0.96795597155716073</v>
      </c>
      <c r="L7" s="27">
        <f>VLOOKUP(B7,'OR SEP'!$J$42:$M$57,'OR SEP'!$L$41,FALSE)</f>
        <v>1.0097087378640777</v>
      </c>
      <c r="M7" s="27">
        <f>VLOOKUP(B7,'OR SEP'!$AK$4:$AL$19,'OR SEP'!$AL$3,FALSE)</f>
        <v>1.0222513089005236</v>
      </c>
      <c r="O7" s="21">
        <v>0.99359119431143217</v>
      </c>
    </row>
    <row r="8" spans="2:15" x14ac:dyDescent="0.25">
      <c r="B8" s="14" t="s">
        <v>17</v>
      </c>
      <c r="C8" s="27">
        <f>VLOOKUP(B8,'OR SEP'!$B$22:$E$36,'OR SEP'!$C$21,FALSE)</f>
        <v>1.0220930232558141</v>
      </c>
      <c r="D8" s="27">
        <f>VLOOKUP(B8,'OR SEP'!$B$22:$E$36,'OR SEP'!$D$21,FALSE)</f>
        <v>1.0888888888888888</v>
      </c>
      <c r="E8" s="30">
        <v>1</v>
      </c>
      <c r="F8" s="27">
        <f>VLOOKUP(B8,'OR SEP'!$AG$4:$AH$23,'OR SEP'!$AH$3,FALSE)</f>
        <v>1.0886912904696762</v>
      </c>
      <c r="G8" s="27">
        <f>VLOOKUP(B8,'OR SEP'!$W$4:$Z$20,'OR SEP'!$Z$3,FALSE)</f>
        <v>1.3168086754453909</v>
      </c>
      <c r="H8" s="27">
        <f>VLOOKUP(B8,'OR SEP'!$AB$4:$AC$19,'OR SEP'!$AC$3,FALSE)</f>
        <v>1</v>
      </c>
      <c r="I8" s="30">
        <v>1</v>
      </c>
      <c r="J8" s="30">
        <v>1</v>
      </c>
      <c r="K8" s="27">
        <f>VLOOKUP(B8,'OR SEP'!$J$42:$M$57,'OR SEP'!$K$41,FALSE)</f>
        <v>0.9543416167882024</v>
      </c>
      <c r="L8" s="27">
        <f>VLOOKUP(B8,'OR SEP'!$J$42:$M$57,'OR SEP'!$L$41,FALSE)</f>
        <v>0.98701298701298701</v>
      </c>
      <c r="M8" s="27">
        <f>VLOOKUP(B8,'OR SEP'!$AK$4:$AL$19,'OR SEP'!$AL$3,FALSE)</f>
        <v>0.86082949308755763</v>
      </c>
      <c r="O8" s="21">
        <v>0.94781846998520636</v>
      </c>
    </row>
    <row r="9" spans="2:15" x14ac:dyDescent="0.25">
      <c r="B9" s="14" t="s">
        <v>18</v>
      </c>
      <c r="C9" s="27">
        <f>VLOOKUP(B9,'OR SEP'!$B$22:$E$36,'OR SEP'!$C$21,FALSE)</f>
        <v>1.0574468085106383</v>
      </c>
      <c r="D9" s="27">
        <f>VLOOKUP(B9,'OR SEP'!$B$22:$E$36,'OR SEP'!$D$21,FALSE)</f>
        <v>1.04</v>
      </c>
      <c r="E9" s="30">
        <v>1</v>
      </c>
      <c r="F9" s="27">
        <f>VLOOKUP(B9,'OR SEP'!$AG$4:$AH$23,'OR SEP'!$AH$3,FALSE)</f>
        <v>0.99951652601969054</v>
      </c>
      <c r="G9" s="27">
        <f>VLOOKUP(B9,'OR SEP'!$W$4:$Z$20,'OR SEP'!$Z$3,FALSE)</f>
        <v>1.0605033612978498</v>
      </c>
      <c r="H9" s="27">
        <f>VLOOKUP(B9,'OR SEP'!$AB$4:$AC$19,'OR SEP'!$AC$3,FALSE)</f>
        <v>1</v>
      </c>
      <c r="I9" s="30">
        <v>1</v>
      </c>
      <c r="J9" s="30">
        <v>1</v>
      </c>
      <c r="K9" s="27">
        <f>VLOOKUP(B9,'OR SEP'!$J$42:$M$57,'OR SEP'!$K$41,FALSE)</f>
        <v>1.0496712276799058</v>
      </c>
      <c r="L9" s="27">
        <f>VLOOKUP(B9,'OR SEP'!$J$42:$M$57,'OR SEP'!$L$41,FALSE)</f>
        <v>1</v>
      </c>
      <c r="M9" s="27">
        <f>VLOOKUP(B9,'OR SEP'!$AK$4:$AL$19,'OR SEP'!$AL$3,FALSE)</f>
        <v>0.74317492416582409</v>
      </c>
      <c r="O9" s="21">
        <v>0.9229331382905348</v>
      </c>
    </row>
    <row r="10" spans="2:15" x14ac:dyDescent="0.25">
      <c r="B10" s="14" t="s">
        <v>19</v>
      </c>
      <c r="C10" s="27">
        <f>VLOOKUP(B10,'OR SEP'!$B$22:$E$36,'OR SEP'!$C$21,FALSE)</f>
        <v>1.0657142857142858</v>
      </c>
      <c r="D10" s="27">
        <f>VLOOKUP(B10,'OR SEP'!$B$22:$E$36,'OR SEP'!$D$21,FALSE)</f>
        <v>1.1373493975903615</v>
      </c>
      <c r="E10" s="30">
        <v>1</v>
      </c>
      <c r="F10" s="27">
        <f>VLOOKUP(B10,'OR SEP'!$AG$4:$AH$23,'OR SEP'!$AH$3,FALSE)</f>
        <v>1.0679722394008107</v>
      </c>
      <c r="G10" s="27">
        <f>VLOOKUP(B10,'OR SEP'!$W$4:$Z$20,'OR SEP'!$Z$3,FALSE)</f>
        <v>1.0444601270289349</v>
      </c>
      <c r="H10" s="27">
        <f>VLOOKUP(B10,'OR SEP'!$AB$4:$AC$19,'OR SEP'!$AC$3,FALSE)</f>
        <v>1</v>
      </c>
      <c r="I10" s="30">
        <v>1</v>
      </c>
      <c r="J10" s="30">
        <v>1</v>
      </c>
      <c r="K10" s="27">
        <f>VLOOKUP(B10,'OR SEP'!$J$42:$M$57,'OR SEP'!$K$41,FALSE)</f>
        <v>1.0966270433575429</v>
      </c>
      <c r="L10" s="27">
        <f>VLOOKUP(B10,'OR SEP'!$J$42:$M$57,'OR SEP'!$L$41,FALSE)</f>
        <v>0.94</v>
      </c>
      <c r="M10" s="27">
        <f>VLOOKUP(B10,'OR SEP'!$AK$4:$AL$19,'OR SEP'!$AL$3,FALSE)</f>
        <v>0.88020833333333337</v>
      </c>
      <c r="O10" s="21">
        <v>0.95806249999999993</v>
      </c>
    </row>
    <row r="11" spans="2:15" x14ac:dyDescent="0.25">
      <c r="B11" s="14" t="s">
        <v>20</v>
      </c>
      <c r="C11" s="27">
        <f>VLOOKUP(B11,'OR SEP'!$B$22:$E$36,'OR SEP'!$C$21,FALSE)</f>
        <v>0.94000000000000006</v>
      </c>
      <c r="D11" s="27">
        <f>VLOOKUP(B11,'OR SEP'!$B$22:$E$36,'OR SEP'!$D$21,FALSE)</f>
        <v>1.1987951807228916</v>
      </c>
      <c r="E11" s="30">
        <v>1</v>
      </c>
      <c r="F11" s="27">
        <f>VLOOKUP(B11,'OR SEP'!$AG$4:$AH$23,'OR SEP'!$AH$3,FALSE)</f>
        <v>1.0959733575537389</v>
      </c>
      <c r="G11" s="27">
        <f>VLOOKUP(B11,'OR SEP'!$W$4:$Z$20,'OR SEP'!$Z$3,FALSE)</f>
        <v>0.93652907234798022</v>
      </c>
      <c r="H11" s="27">
        <f>VLOOKUP(B11,'OR SEP'!$AB$4:$AC$19,'OR SEP'!$AC$3,FALSE)</f>
        <v>1</v>
      </c>
      <c r="I11" s="30">
        <v>1</v>
      </c>
      <c r="J11" s="30">
        <v>1</v>
      </c>
      <c r="K11" s="27">
        <f>VLOOKUP(B11,'OR SEP'!$J$42:$M$57,'OR SEP'!$K$41,FALSE)</f>
        <v>1.1157649231625402</v>
      </c>
      <c r="L11" s="27">
        <f>VLOOKUP(B11,'OR SEP'!$J$42:$M$57,'OR SEP'!$L$41,FALSE)</f>
        <v>1.0084745762711864</v>
      </c>
      <c r="M11" s="27">
        <f>VLOOKUP(B11,'OR SEP'!$AK$4:$AL$19,'OR SEP'!$AL$3,FALSE)</f>
        <v>0.96417445482866049</v>
      </c>
      <c r="O11" s="21">
        <v>0.98311349934251735</v>
      </c>
    </row>
    <row r="12" spans="2:15" x14ac:dyDescent="0.25">
      <c r="B12" s="14" t="s">
        <v>21</v>
      </c>
      <c r="C12" s="27">
        <f>VLOOKUP(B12,'OR SEP'!$B$22:$E$36,'OR SEP'!$C$21,FALSE)</f>
        <v>0.82285714285714284</v>
      </c>
      <c r="D12" s="27">
        <f>VLOOKUP(B12,'OR SEP'!$B$22:$E$36,'OR SEP'!$D$21,FALSE)</f>
        <v>1.0879518072289158</v>
      </c>
      <c r="E12" s="30">
        <v>1</v>
      </c>
      <c r="F12" s="27">
        <f>VLOOKUP(B12,'OR SEP'!$AG$4:$AH$23,'OR SEP'!$AH$3,FALSE)</f>
        <v>0.95610746641674482</v>
      </c>
      <c r="G12" s="27">
        <f>VLOOKUP(B12,'OR SEP'!$W$4:$Z$20,'OR SEP'!$Z$3,FALSE)</f>
        <v>0.8630079597821535</v>
      </c>
      <c r="H12" s="27">
        <f>VLOOKUP(B12,'OR SEP'!$AB$4:$AC$19,'OR SEP'!$AC$3,FALSE)</f>
        <v>1</v>
      </c>
      <c r="I12" s="30">
        <v>1</v>
      </c>
      <c r="J12" s="30">
        <v>1</v>
      </c>
      <c r="K12" s="27">
        <f>VLOOKUP(B12,'OR SEP'!$J$42:$M$57,'OR SEP'!$K$41,FALSE)</f>
        <v>1.1609117491571079</v>
      </c>
      <c r="L12" s="27">
        <f>VLOOKUP(B12,'OR SEP'!$J$42:$M$57,'OR SEP'!$L$41,FALSE)</f>
        <v>1.173913043478261</v>
      </c>
      <c r="M12" s="27">
        <f>VLOOKUP(B12,'OR SEP'!$AK$4:$AL$19,'OR SEP'!$AL$3,FALSE)</f>
        <v>0.90752351097178685</v>
      </c>
      <c r="O12" s="21">
        <v>0.9543930989109205</v>
      </c>
    </row>
    <row r="13" spans="2:15" x14ac:dyDescent="0.25">
      <c r="B13" s="14" t="s">
        <v>22</v>
      </c>
      <c r="C13" s="27">
        <f>VLOOKUP(B13,'OR SEP'!$B$22:$E$36,'OR SEP'!$C$21,FALSE)</f>
        <v>1.0871428571428572</v>
      </c>
      <c r="D13" s="27">
        <f>VLOOKUP(B13,'OR SEP'!$B$22:$E$36,'OR SEP'!$D$21,FALSE)</f>
        <v>1.0863636363636364</v>
      </c>
      <c r="E13" s="30">
        <v>1</v>
      </c>
      <c r="F13" s="27">
        <f>VLOOKUP(B13,'OR SEP'!$AG$4:$AH$23,'OR SEP'!$AH$3,FALSE)</f>
        <v>1.1111111111111112</v>
      </c>
      <c r="G13" s="27">
        <f>VLOOKUP(B13,'OR SEP'!$W$4:$Z$20,'OR SEP'!$Z$3,FALSE)</f>
        <v>1.0688926229063902</v>
      </c>
      <c r="H13" s="27">
        <f>VLOOKUP(B13,'OR SEP'!$AB$4:$AC$19,'OR SEP'!$AC$3,FALSE)</f>
        <v>1</v>
      </c>
      <c r="I13" s="30">
        <v>1</v>
      </c>
      <c r="J13" s="30">
        <v>1</v>
      </c>
      <c r="K13" s="27">
        <f>VLOOKUP(B13,'OR SEP'!$J$42:$M$57,'OR SEP'!$K$41,FALSE)</f>
        <v>0.96635559034971086</v>
      </c>
      <c r="L13" s="27">
        <f>VLOOKUP(B13,'OR SEP'!$J$42:$M$57,'OR SEP'!$L$41,FALSE)</f>
        <v>0.97959183673469385</v>
      </c>
      <c r="M13" s="27">
        <f>VLOOKUP(B13,'OR SEP'!$AK$4:$AL$19,'OR SEP'!$AL$3,FALSE)</f>
        <v>0.849705304518664</v>
      </c>
      <c r="O13" s="21">
        <v>0.94614189309901087</v>
      </c>
    </row>
    <row r="14" spans="2:15" x14ac:dyDescent="0.25">
      <c r="B14" s="14" t="s">
        <v>23</v>
      </c>
      <c r="C14" s="27">
        <f>VLOOKUP(B14,'OR SEP'!$B$22:$E$36,'OR SEP'!$C$21,FALSE)</f>
        <v>1.0133333333333334</v>
      </c>
      <c r="D14" s="27">
        <f>VLOOKUP(B14,'OR SEP'!$B$22:$E$36,'OR SEP'!$D$21,FALSE)</f>
        <v>1.0626506024096387</v>
      </c>
      <c r="E14" s="30">
        <v>1</v>
      </c>
      <c r="F14" s="27">
        <f>VLOOKUP(B14,'OR SEP'!$AG$4:$AH$23,'OR SEP'!$AH$3,FALSE)</f>
        <v>0.96594982078853042</v>
      </c>
      <c r="G14" s="27">
        <f>VLOOKUP(B14,'OR SEP'!$W$4:$Z$20,'OR SEP'!$Z$3,FALSE)</f>
        <v>1.0182194081922726</v>
      </c>
      <c r="H14" s="27">
        <f>VLOOKUP(B14,'OR SEP'!$AB$4:$AC$19,'OR SEP'!$AC$3,FALSE)</f>
        <v>1</v>
      </c>
      <c r="I14" s="73" t="s">
        <v>24</v>
      </c>
      <c r="J14" s="30">
        <v>1</v>
      </c>
      <c r="K14" s="27">
        <f>VLOOKUP(B14,'OR SEP'!$J$42:$M$57,'OR SEP'!$K$41,FALSE)</f>
        <v>1.2028302115977942</v>
      </c>
      <c r="L14" s="27">
        <f>VLOOKUP(B14,'OR SEP'!$J$42:$M$57,'OR SEP'!$L$41,FALSE)</f>
        <v>0.98561151079136711</v>
      </c>
      <c r="M14" s="27">
        <f>VLOOKUP(B14,'OR SEP'!$AK$4:$AL$19,'OR SEP'!$AL$3,FALSE)</f>
        <v>0.9027522935779817</v>
      </c>
      <c r="O14" s="21">
        <v>0.96802483198407252</v>
      </c>
    </row>
    <row r="15" spans="2:15" x14ac:dyDescent="0.25">
      <c r="B15" s="14" t="s">
        <v>25</v>
      </c>
      <c r="C15" s="27">
        <f>VLOOKUP(B15,'OR SEP'!$B$22:$E$36,'OR SEP'!$C$21,FALSE)</f>
        <v>1.0809523809523811</v>
      </c>
      <c r="D15" s="27">
        <f>VLOOKUP(B15,'OR SEP'!$B$22:$E$36,'OR SEP'!$D$21,FALSE)</f>
        <v>1.0588888888888888</v>
      </c>
      <c r="E15" s="30">
        <v>1</v>
      </c>
      <c r="F15" s="27">
        <f>VLOOKUP(B15,'OR SEP'!$AG$4:$AH$23,'OR SEP'!$AH$3,FALSE)</f>
        <v>0.98309178743961345</v>
      </c>
      <c r="G15" s="27">
        <f>VLOOKUP(B15,'OR SEP'!$W$4:$Z$20,'OR SEP'!$Z$3,FALSE)</f>
        <v>1.1204013377926418</v>
      </c>
      <c r="H15" s="27">
        <f>VLOOKUP(B15,'OR SEP'!$AB$4:$AC$19,'OR SEP'!$AC$3,FALSE)</f>
        <v>0.4</v>
      </c>
      <c r="I15" s="73" t="s">
        <v>24</v>
      </c>
      <c r="J15" s="30">
        <v>1</v>
      </c>
      <c r="K15" s="27">
        <f>VLOOKUP(B15,'OR SEP'!$J$42:$M$57,'OR SEP'!$K$41,FALSE)</f>
        <v>0.85629801799178928</v>
      </c>
      <c r="L15" s="27">
        <f>VLOOKUP(B15,'OR SEP'!$J$42:$M$57,'OR SEP'!$L$41,FALSE)</f>
        <v>1.2283464566929134</v>
      </c>
      <c r="M15" s="27">
        <f>VLOOKUP(B15,'OR SEP'!$AK$4:$AL$19,'OR SEP'!$AL$3,FALSE)</f>
        <v>0.85110470701248797</v>
      </c>
      <c r="O15" s="21">
        <v>0.89591468719968881</v>
      </c>
    </row>
    <row r="16" spans="2:15" x14ac:dyDescent="0.25">
      <c r="B16" s="14" t="s">
        <v>26</v>
      </c>
      <c r="C16" s="27">
        <f>VLOOKUP(B16,'OR SEP'!$B$22:$E$36,'OR SEP'!$C$21,FALSE)</f>
        <v>1.0541176470588236</v>
      </c>
      <c r="D16" s="27">
        <f>VLOOKUP(B16,'OR SEP'!$B$22:$E$36,'OR SEP'!$D$21,FALSE)</f>
        <v>1.0666666666666667</v>
      </c>
      <c r="E16" s="30">
        <v>1</v>
      </c>
      <c r="F16" s="27">
        <f>VLOOKUP(B16,'OR SEP'!$AG$4:$AH$23,'OR SEP'!$AH$3,FALSE)</f>
        <v>1.0687884430901191</v>
      </c>
      <c r="G16" s="27">
        <f>VLOOKUP(B16,'OR SEP'!$W$4:$Z$20,'OR SEP'!$Z$3,FALSE)</f>
        <v>0.92015514243680618</v>
      </c>
      <c r="H16" s="27">
        <f>VLOOKUP(B16,'OR SEP'!$AB$4:$AC$19,'OR SEP'!$AC$3,FALSE)</f>
        <v>1</v>
      </c>
      <c r="I16" s="73" t="s">
        <v>24</v>
      </c>
      <c r="J16" s="30">
        <v>1</v>
      </c>
      <c r="K16" s="27">
        <f>VLOOKUP(B16,'OR SEP'!$J$42:$M$57,'OR SEP'!$K$41,FALSE)</f>
        <v>0.72591119110016522</v>
      </c>
      <c r="L16" s="27">
        <f>VLOOKUP(B16,'OR SEP'!$J$42:$M$57,'OR SEP'!$L$41,FALSE)</f>
        <v>0.94186046511627919</v>
      </c>
      <c r="M16" s="27">
        <f>VLOOKUP(B16,'OR SEP'!$AK$4:$AL$19,'OR SEP'!$AL$3,FALSE)</f>
        <v>0.98014440433213001</v>
      </c>
      <c r="O16" s="21">
        <v>0.93021781172877227</v>
      </c>
    </row>
    <row r="17" spans="2:15" x14ac:dyDescent="0.25">
      <c r="B17" s="14" t="s">
        <v>27</v>
      </c>
      <c r="C17" s="27">
        <v>0.76571428571428579</v>
      </c>
      <c r="D17" s="27">
        <v>1.0522727272727272</v>
      </c>
      <c r="E17" s="30">
        <v>1</v>
      </c>
      <c r="F17" s="27">
        <f>VLOOKUP(B17,'OR SEP'!$AG$4:$AH$23,'OR SEP'!$AH$3,FALSE)</f>
        <v>0.88695569789188755</v>
      </c>
      <c r="G17" s="27">
        <f>VLOOKUP(B17,'OR SEP'!$W$4:$Z$20,'OR SEP'!$Z$3,FALSE)</f>
        <v>0.75887761572606216</v>
      </c>
      <c r="H17" s="27">
        <f>VLOOKUP(B17,'OR SEP'!$AB$4:$AC$19,'OR SEP'!$AC$3,FALSE)</f>
        <v>1</v>
      </c>
      <c r="I17" s="73" t="s">
        <v>24</v>
      </c>
      <c r="J17" s="30">
        <v>1</v>
      </c>
      <c r="K17" s="27">
        <f>VLOOKUP(B17,'OR SEP'!$J$42:$M$57,'OR SEP'!$K$41,FALSE)</f>
        <v>1.0255962807359507</v>
      </c>
      <c r="L17" s="27">
        <f>VLOOKUP(B17,'OR SEP'!$J$42:$M$57,'OR SEP'!$L$41,FALSE)</f>
        <v>0.79842431063590313</v>
      </c>
      <c r="M17" s="27">
        <f>VLOOKUP(B17,'OR SEP'!$AK$4:$AL$19,'OR SEP'!$AL$3,FALSE)</f>
        <v>0.79114642451759365</v>
      </c>
      <c r="O17" s="21">
        <v>0.88896254810644371</v>
      </c>
    </row>
    <row r="18" spans="2:15" x14ac:dyDescent="0.25">
      <c r="B18" s="14" t="s">
        <v>78</v>
      </c>
      <c r="C18" s="27"/>
      <c r="D18" s="27"/>
      <c r="E18" s="30">
        <v>1</v>
      </c>
      <c r="F18" s="27">
        <f>VLOOKUP(B18,'OR SEP'!$AG$4:$AH$23,'OR SEP'!$AH$3,FALSE)</f>
        <v>0.58751204984320093</v>
      </c>
      <c r="G18" s="27">
        <f>VLOOKUP(B18,'OR SEP'!$W$4:$Z$20,'OR SEP'!$Z$3,FALSE)</f>
        <v>0.74494398370435022</v>
      </c>
      <c r="H18" s="27">
        <f>VLOOKUP(B18,'OR SEP'!$AB$4:$AC$19,'OR SEP'!$AC$3,FALSE)</f>
        <v>0.8</v>
      </c>
      <c r="I18" s="27" t="s">
        <v>24</v>
      </c>
      <c r="J18" s="30">
        <v>1</v>
      </c>
      <c r="K18" s="27">
        <f>VLOOKUP(B18,'OR SEP'!$J$42:$M$57,'OR SEP'!$K$41,FALSE)</f>
        <v>0.85062499999999996</v>
      </c>
      <c r="L18" s="27">
        <f>VLOOKUP(B18,'OR SEP'!$J$42:$M$57,'OR SEP'!$L$41,FALSE)</f>
        <v>0.83144991380961508</v>
      </c>
      <c r="M18" s="27">
        <f>VLOOKUP(B18,'OR SEP'!$AK$4:$AL$19,'OR SEP'!$AL$3,FALSE)</f>
        <v>0.81005586592178769</v>
      </c>
      <c r="O18" s="21">
        <v>0.83594359613096481</v>
      </c>
    </row>
    <row r="21" spans="2:1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1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1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1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1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1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1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1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1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1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1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14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3.8097206202742533E-2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0.19755149761064542</v>
      </c>
      <c r="L40" s="21">
        <f t="shared" si="1"/>
        <v>0.1</v>
      </c>
      <c r="M40" s="21">
        <f t="shared" si="1"/>
        <v>0.3</v>
      </c>
      <c r="N40" s="24">
        <f>SUM(C40:M40)</f>
        <v>0.99564870381338788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0</v>
      </c>
      <c r="G41" s="21">
        <f t="shared" si="2"/>
        <v>0.04</v>
      </c>
      <c r="H41" s="21">
        <f t="shared" si="2"/>
        <v>0.05</v>
      </c>
      <c r="I41" s="21">
        <f t="shared" si="2"/>
        <v>0.03</v>
      </c>
      <c r="J41" s="21">
        <f t="shared" si="2"/>
        <v>7.0000000000000007E-2</v>
      </c>
      <c r="K41" s="21">
        <f t="shared" si="2"/>
        <v>0.15178042963840607</v>
      </c>
      <c r="L41" s="21">
        <f t="shared" si="2"/>
        <v>0.1</v>
      </c>
      <c r="M41" s="21">
        <f t="shared" si="2"/>
        <v>0.25235511713933412</v>
      </c>
      <c r="N41" s="24">
        <f t="shared" ref="N41:N54" si="3">SUM(C41:M41)</f>
        <v>0.86413554677774018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0.05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1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0.19359119431143215</v>
      </c>
      <c r="L43" s="21">
        <f t="shared" si="2"/>
        <v>0.1</v>
      </c>
      <c r="M43" s="21">
        <f t="shared" si="2"/>
        <v>0.3</v>
      </c>
      <c r="N43" s="24">
        <f t="shared" si="3"/>
        <v>0.99359119431143217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0.19086832335764048</v>
      </c>
      <c r="L44" s="21">
        <f t="shared" si="2"/>
        <v>9.8701298701298706E-2</v>
      </c>
      <c r="M44" s="21">
        <f t="shared" si="2"/>
        <v>0.25824884792626729</v>
      </c>
      <c r="N44" s="24">
        <f t="shared" si="3"/>
        <v>0.94781846998520636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3.9980661040787624E-2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0.22295247724974723</v>
      </c>
      <c r="N45" s="24">
        <f t="shared" si="3"/>
        <v>0.9229331382905348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0.05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9.4E-2</v>
      </c>
      <c r="M46" s="21">
        <f t="shared" si="2"/>
        <v>0.26406249999999998</v>
      </c>
      <c r="N46" s="24">
        <f t="shared" si="3"/>
        <v>0.95806249999999993</v>
      </c>
    </row>
    <row r="47" spans="2:14" x14ac:dyDescent="0.25">
      <c r="B47" s="14" t="s">
        <v>20</v>
      </c>
      <c r="C47" s="21">
        <f t="shared" si="2"/>
        <v>5.6399999999999999E-2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3.7461162893919209E-2</v>
      </c>
      <c r="H47" s="21">
        <f t="shared" si="2"/>
        <v>0.05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0.28925233644859816</v>
      </c>
      <c r="N47" s="24">
        <f t="shared" si="3"/>
        <v>0.98311349934251735</v>
      </c>
    </row>
    <row r="48" spans="2:14" x14ac:dyDescent="0.25">
      <c r="B48" s="14" t="s">
        <v>21</v>
      </c>
      <c r="C48" s="21">
        <f t="shared" si="2"/>
        <v>4.9371428571428566E-2</v>
      </c>
      <c r="D48" s="21">
        <f t="shared" si="2"/>
        <v>0.06</v>
      </c>
      <c r="E48" s="21">
        <f t="shared" si="2"/>
        <v>0.05</v>
      </c>
      <c r="F48" s="21">
        <f t="shared" si="2"/>
        <v>3.8244298656669791E-2</v>
      </c>
      <c r="G48" s="21">
        <f t="shared" si="2"/>
        <v>3.4520318391286144E-2</v>
      </c>
      <c r="H48" s="21">
        <f t="shared" si="2"/>
        <v>0.05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0.27225705329153604</v>
      </c>
      <c r="N48" s="24">
        <f t="shared" si="3"/>
        <v>0.9543930989109205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0.19327111806994218</v>
      </c>
      <c r="L49" s="21">
        <f t="shared" si="2"/>
        <v>9.7959183673469397E-2</v>
      </c>
      <c r="M49" s="21">
        <f t="shared" si="2"/>
        <v>0.25491159135559921</v>
      </c>
      <c r="N49" s="24">
        <f t="shared" si="3"/>
        <v>0.94614189309901087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3.8637992831541221E-2</v>
      </c>
      <c r="G50" s="21">
        <f t="shared" si="2"/>
        <v>0.04</v>
      </c>
      <c r="H50" s="21">
        <f t="shared" si="2"/>
        <v>0.05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0.27082568807339452</v>
      </c>
      <c r="N50" s="24">
        <f t="shared" si="3"/>
        <v>0.96802483198407252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3.9323671497584541E-2</v>
      </c>
      <c r="G51" s="21">
        <f t="shared" si="2"/>
        <v>0.04</v>
      </c>
      <c r="H51" s="21">
        <f t="shared" si="2"/>
        <v>2.0000000000000004E-2</v>
      </c>
      <c r="I51" s="21" t="s">
        <v>24</v>
      </c>
      <c r="J51" s="21">
        <f t="shared" si="2"/>
        <v>0.1</v>
      </c>
      <c r="K51" s="21">
        <f t="shared" si="2"/>
        <v>0.17125960359835787</v>
      </c>
      <c r="L51" s="21">
        <f t="shared" si="2"/>
        <v>0.1</v>
      </c>
      <c r="M51" s="21">
        <f t="shared" si="2"/>
        <v>0.25533141210374638</v>
      </c>
      <c r="N51" s="24">
        <f t="shared" si="3"/>
        <v>0.89591468719968881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3.6806205697472248E-2</v>
      </c>
      <c r="H52" s="21">
        <f t="shared" si="2"/>
        <v>0.05</v>
      </c>
      <c r="I52" s="21" t="s">
        <v>24</v>
      </c>
      <c r="J52" s="21">
        <f t="shared" si="2"/>
        <v>0.1</v>
      </c>
      <c r="K52" s="21">
        <f t="shared" si="2"/>
        <v>0.14518223822003304</v>
      </c>
      <c r="L52" s="21">
        <f t="shared" si="2"/>
        <v>9.418604651162793E-2</v>
      </c>
      <c r="M52" s="21">
        <f t="shared" si="2"/>
        <v>0.294043321299639</v>
      </c>
      <c r="N52" s="24">
        <f t="shared" si="3"/>
        <v>0.93021781172877227</v>
      </c>
    </row>
    <row r="53" spans="2:14" x14ac:dyDescent="0.25">
      <c r="B53" s="14" t="s">
        <v>27</v>
      </c>
      <c r="C53" s="21">
        <f t="shared" si="2"/>
        <v>4.5942857142857146E-2</v>
      </c>
      <c r="D53" s="21">
        <f t="shared" si="2"/>
        <v>0.06</v>
      </c>
      <c r="E53" s="21">
        <f t="shared" si="2"/>
        <v>0.05</v>
      </c>
      <c r="F53" s="21">
        <f t="shared" si="2"/>
        <v>3.5478227915675502E-2</v>
      </c>
      <c r="G53" s="21">
        <f t="shared" si="2"/>
        <v>3.0355104629042486E-2</v>
      </c>
      <c r="H53" s="21">
        <f t="shared" si="2"/>
        <v>0.05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7.9842431063590319E-2</v>
      </c>
      <c r="M53" s="21">
        <f t="shared" si="2"/>
        <v>0.23734392735527809</v>
      </c>
      <c r="N53" s="24">
        <f t="shared" si="3"/>
        <v>0.88896254810644371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2.9375602492160049E-2</v>
      </c>
      <c r="G54" s="21">
        <f t="shared" si="2"/>
        <v>3.724719918521751E-2</v>
      </c>
      <c r="H54" s="21">
        <f t="shared" si="2"/>
        <v>4.0000000000000008E-2</v>
      </c>
      <c r="I54" s="158" t="s">
        <v>24</v>
      </c>
      <c r="J54" s="21">
        <f t="shared" si="2"/>
        <v>0.1</v>
      </c>
      <c r="K54" s="21">
        <f t="shared" si="2"/>
        <v>0.21265624999999999</v>
      </c>
      <c r="L54" s="21">
        <f t="shared" si="2"/>
        <v>8.3144991380961514E-2</v>
      </c>
      <c r="M54" s="21">
        <f t="shared" si="2"/>
        <v>0.28351955307262566</v>
      </c>
      <c r="N54" s="24">
        <f t="shared" si="3"/>
        <v>0.83594359613096481</v>
      </c>
    </row>
    <row r="58" spans="2:14" x14ac:dyDescent="0.25">
      <c r="B58" s="28" t="s">
        <v>1</v>
      </c>
      <c r="C58" s="28" t="s">
        <v>32</v>
      </c>
      <c r="D58" s="28" t="s">
        <v>200</v>
      </c>
      <c r="E58" s="20" t="s">
        <v>142</v>
      </c>
    </row>
    <row r="59" spans="2:14" x14ac:dyDescent="0.25">
      <c r="B59" s="23" t="s">
        <v>13</v>
      </c>
      <c r="C59" s="16">
        <v>0.98980082279753345</v>
      </c>
      <c r="D59" s="27">
        <f>VLOOKUP(B59,$B$39:$N$54,$N$38,FALSE)</f>
        <v>0.99564870381338788</v>
      </c>
      <c r="E59" s="27">
        <f>VLOOKUP(AP25SEP!B59,'OR SEP'!$B$42:$D$76,'OR SEP'!$D$41,FALSE)</f>
        <v>0.2753013009817224</v>
      </c>
      <c r="G59" s="198" t="s">
        <v>201</v>
      </c>
      <c r="H59" s="1">
        <f>E59+E60+E61+E62+E63+E64+E65+E66+E67+E68+E70</f>
        <v>0.7568042142230027</v>
      </c>
    </row>
    <row r="60" spans="2:14" x14ac:dyDescent="0.25">
      <c r="B60" s="23" t="s">
        <v>15</v>
      </c>
      <c r="C60" s="16">
        <v>1</v>
      </c>
      <c r="D60" s="27">
        <f t="shared" ref="D60:D72" si="4">VLOOKUP(B60,$B$39:$N$54,$N$38,FALSE)</f>
        <v>1</v>
      </c>
      <c r="E60" s="27">
        <f>VLOOKUP(AP25SEP!B60,'OR SEP'!$B$42:$D$76,'OR SEP'!$D$41,FALSE)</f>
        <v>0.13033761672918828</v>
      </c>
    </row>
    <row r="61" spans="2:14" x14ac:dyDescent="0.25">
      <c r="B61" s="23" t="s">
        <v>16</v>
      </c>
      <c r="C61" s="16">
        <v>0.96686117474328959</v>
      </c>
      <c r="D61" s="27">
        <f t="shared" si="4"/>
        <v>0.99359119431143217</v>
      </c>
      <c r="E61" s="27">
        <f>VLOOKUP(AP25SEP!B61,'OR SEP'!$B$42:$D$76,'OR SEP'!$D$41,FALSE)</f>
        <v>3.7113895761832549E-2</v>
      </c>
    </row>
    <row r="62" spans="2:14" x14ac:dyDescent="0.25">
      <c r="B62" s="23" t="s">
        <v>17</v>
      </c>
      <c r="C62" s="16">
        <v>0.91</v>
      </c>
      <c r="D62" s="27">
        <f t="shared" si="4"/>
        <v>0.94781846998520636</v>
      </c>
      <c r="E62" s="27">
        <f>VLOOKUP(AP25SEP!B62,'OR SEP'!$B$42:$D$76,'OR SEP'!$D$41,FALSE)</f>
        <v>4.6113017798707003E-2</v>
      </c>
    </row>
    <row r="63" spans="2:14" x14ac:dyDescent="0.25">
      <c r="B63" s="23" t="s">
        <v>18</v>
      </c>
      <c r="C63" s="16">
        <v>0.93110470401828627</v>
      </c>
      <c r="D63" s="27">
        <f t="shared" si="4"/>
        <v>0.9229331382905348</v>
      </c>
      <c r="E63" s="27">
        <f>VLOOKUP(AP25SEP!B63,'OR SEP'!$B$42:$D$76,'OR SEP'!$D$41,FALSE)</f>
        <v>3.7073988347034882E-2</v>
      </c>
    </row>
    <row r="64" spans="2:14" x14ac:dyDescent="0.25">
      <c r="B64" s="23" t="s">
        <v>19</v>
      </c>
      <c r="C64" s="16">
        <v>0.97207402616838423</v>
      </c>
      <c r="D64" s="27">
        <f t="shared" si="4"/>
        <v>0.95806249999999993</v>
      </c>
      <c r="E64" s="27">
        <f>VLOOKUP(AP25SEP!B64,'OR SEP'!$B$42:$D$76,'OR SEP'!$D$41,FALSE)</f>
        <v>4.5574267698938464E-2</v>
      </c>
    </row>
    <row r="65" spans="2:5" x14ac:dyDescent="0.25">
      <c r="B65" s="23" t="s">
        <v>20</v>
      </c>
      <c r="C65" s="16">
        <v>0.97973452294246177</v>
      </c>
      <c r="D65" s="27">
        <f t="shared" si="4"/>
        <v>0.98311349934251735</v>
      </c>
      <c r="E65" s="27">
        <f>VLOOKUP(AP25SEP!B65,'OR SEP'!$B$42:$D$76,'OR SEP'!$D$41,FALSE)</f>
        <v>4.8866629419746191E-2</v>
      </c>
    </row>
    <row r="66" spans="2:5" x14ac:dyDescent="0.25">
      <c r="B66" s="23" t="s">
        <v>21</v>
      </c>
      <c r="C66" s="16">
        <v>0.93991571983947841</v>
      </c>
      <c r="D66" s="27">
        <f t="shared" si="4"/>
        <v>0.9543930989109205</v>
      </c>
      <c r="E66" s="27">
        <f>VLOOKUP(AP25SEP!B66,'OR SEP'!$B$42:$D$76,'OR SEP'!$D$41,FALSE)</f>
        <v>2.4263708196982998E-2</v>
      </c>
    </row>
    <row r="67" spans="2:5" x14ac:dyDescent="0.25">
      <c r="B67" s="23" t="s">
        <v>22</v>
      </c>
      <c r="C67" s="16">
        <v>0.94524218314862185</v>
      </c>
      <c r="D67" s="27">
        <f t="shared" si="4"/>
        <v>0.94614189309901087</v>
      </c>
      <c r="E67" s="27">
        <f>VLOOKUP(AP25SEP!B67,'OR SEP'!$B$42:$D$76,'OR SEP'!$D$41,FALSE)</f>
        <v>4.2441535637321413E-2</v>
      </c>
    </row>
    <row r="68" spans="2:5" x14ac:dyDescent="0.25">
      <c r="B68" s="23" t="s">
        <v>23</v>
      </c>
      <c r="C68" s="16">
        <v>0.91500000000000004</v>
      </c>
      <c r="D68" s="27">
        <f t="shared" si="4"/>
        <v>0.96802483198407252</v>
      </c>
      <c r="E68" s="27">
        <f>VLOOKUP(AP25SEP!B68,'OR SEP'!$B$42:$D$76,'OR SEP'!$D$41,FALSE)</f>
        <v>4.8268018197781148E-2</v>
      </c>
    </row>
    <row r="69" spans="2:5" x14ac:dyDescent="0.25">
      <c r="B69" s="23" t="s">
        <v>25</v>
      </c>
      <c r="C69" s="16">
        <v>0.99989690721649493</v>
      </c>
      <c r="D69" s="27">
        <f t="shared" si="4"/>
        <v>0.89591468719968881</v>
      </c>
      <c r="E69" s="27">
        <f>VLOOKUP(AP25SEP!B69,'OR SEP'!$B$42:$D$76,'OR SEP'!$D$41,FALSE)</f>
        <v>4.7848990342405619E-2</v>
      </c>
    </row>
    <row r="70" spans="2:5" x14ac:dyDescent="0.25">
      <c r="B70" s="23" t="s">
        <v>26</v>
      </c>
      <c r="C70" s="16">
        <v>0.9</v>
      </c>
      <c r="D70" s="27">
        <f t="shared" si="4"/>
        <v>0.93021781172877227</v>
      </c>
      <c r="E70" s="27">
        <f>VLOOKUP(AP25SEP!B70,'OR SEP'!$B$42:$D$76,'OR SEP'!$D$41,FALSE)</f>
        <v>2.1450235453747305E-2</v>
      </c>
    </row>
    <row r="71" spans="2:5" x14ac:dyDescent="0.25">
      <c r="B71" s="23" t="s">
        <v>33</v>
      </c>
      <c r="C71" s="16">
        <v>0.63392386477602281</v>
      </c>
      <c r="D71" s="27">
        <f t="shared" si="4"/>
        <v>0.88896254810644371</v>
      </c>
      <c r="E71" s="27">
        <f>VLOOKUP(AP25SEP!B71,'OR SEP'!$B$42:$D$76,'OR SEP'!$D$41,FALSE)</f>
        <v>2.9890653683454387E-2</v>
      </c>
    </row>
    <row r="72" spans="2:5" x14ac:dyDescent="0.25">
      <c r="B72" s="23" t="s">
        <v>85</v>
      </c>
      <c r="C72" s="16">
        <v>0.48232272019195277</v>
      </c>
      <c r="D72" s="27">
        <f t="shared" si="4"/>
        <v>0.83594359613096481</v>
      </c>
      <c r="E72" s="27">
        <f>VLOOKUP(AP25SEP!B72,'OR SEP'!$B$42:$D$76,'OR SEP'!$D$41,FALSE)</f>
        <v>1.2471067124271689E-2</v>
      </c>
    </row>
  </sheetData>
  <conditionalFormatting sqref="C4:M17 E18:M18">
    <cfRule type="cellIs" dxfId="30" priority="4" operator="lessThan">
      <formula>0.95</formula>
    </cfRule>
    <cfRule type="cellIs" dxfId="29" priority="5" operator="between">
      <formula>0.99</formula>
      <formula>0.95</formula>
    </cfRule>
  </conditionalFormatting>
  <conditionalFormatting sqref="N40:N54">
    <cfRule type="cellIs" dxfId="28" priority="7" operator="lessThan">
      <formula>0.9</formula>
    </cfRule>
  </conditionalFormatting>
  <conditionalFormatting sqref="O4:O18">
    <cfRule type="cellIs" dxfId="27" priority="1" operator="lessThan">
      <formula>0.9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E6BC-CD89-424E-8BAE-811F91A8A0E4}">
  <sheetPr codeName="Hoja10"/>
  <dimension ref="C1:O20"/>
  <sheetViews>
    <sheetView showGridLines="0" workbookViewId="0">
      <selection activeCell="K11" sqref="K11"/>
    </sheetView>
  </sheetViews>
  <sheetFormatPr baseColWidth="10" defaultColWidth="8.7109375" defaultRowHeight="15" x14ac:dyDescent="0.25"/>
  <cols>
    <col min="1" max="2" width="8.7109375" style="11"/>
    <col min="3" max="3" width="10.7109375" style="11" customWidth="1"/>
    <col min="4" max="4" width="11.7109375" style="11" customWidth="1"/>
    <col min="5" max="5" width="12.42578125" style="11" customWidth="1"/>
    <col min="6" max="7" width="10.7109375" style="11" customWidth="1"/>
    <col min="8" max="8" width="9.7109375" style="11" customWidth="1"/>
    <col min="9" max="16384" width="8.7109375" style="11"/>
  </cols>
  <sheetData>
    <row r="1" spans="3:15" ht="15.75" thickBot="1" x14ac:dyDescent="0.3"/>
    <row r="2" spans="3:15" x14ac:dyDescent="0.25">
      <c r="C2" s="277" t="s">
        <v>202</v>
      </c>
      <c r="D2" s="278"/>
      <c r="E2" s="278"/>
      <c r="F2" s="278"/>
      <c r="G2" s="278"/>
      <c r="H2" s="279"/>
    </row>
    <row r="3" spans="3:15" x14ac:dyDescent="0.25">
      <c r="C3" s="214">
        <v>0.06</v>
      </c>
      <c r="D3" s="215">
        <v>0.06</v>
      </c>
      <c r="E3" s="215">
        <v>0.05</v>
      </c>
      <c r="F3" s="215">
        <v>0.04</v>
      </c>
      <c r="G3" s="287">
        <v>0.04</v>
      </c>
      <c r="H3" s="292"/>
    </row>
    <row r="4" spans="3:15" ht="23.1" customHeight="1" x14ac:dyDescent="0.25">
      <c r="C4" s="204" t="s">
        <v>2</v>
      </c>
      <c r="D4" s="161" t="s">
        <v>3</v>
      </c>
      <c r="E4" s="161" t="s">
        <v>4</v>
      </c>
      <c r="F4" s="161" t="s">
        <v>5</v>
      </c>
      <c r="G4" s="286" t="s">
        <v>6</v>
      </c>
      <c r="H4" s="291"/>
    </row>
    <row r="5" spans="3:15" ht="23.1" customHeight="1" thickBot="1" x14ac:dyDescent="0.3">
      <c r="C5" s="246">
        <v>0.76571428571428579</v>
      </c>
      <c r="D5" s="247">
        <v>1.0522727272727272</v>
      </c>
      <c r="E5" s="247">
        <v>1</v>
      </c>
      <c r="F5" s="246">
        <v>0.88695569789188755</v>
      </c>
      <c r="G5" s="248" t="s">
        <v>222</v>
      </c>
      <c r="H5" s="249" t="s">
        <v>223</v>
      </c>
      <c r="K5" s="11">
        <v>1.0255962807359507</v>
      </c>
      <c r="L5" s="11">
        <v>0.79842431063590313</v>
      </c>
      <c r="M5" s="11">
        <v>0.79114642451759365</v>
      </c>
      <c r="O5" s="11">
        <v>0.88896254810644371</v>
      </c>
    </row>
    <row r="6" spans="3:15" ht="7.15" customHeight="1" x14ac:dyDescent="0.25"/>
    <row r="7" spans="3:15" ht="7.15" customHeight="1" thickBot="1" x14ac:dyDescent="0.3"/>
    <row r="8" spans="3:15" x14ac:dyDescent="0.25">
      <c r="D8" s="280" t="s">
        <v>203</v>
      </c>
      <c r="E8" s="281"/>
      <c r="F8" s="282"/>
    </row>
    <row r="9" spans="3:15" x14ac:dyDescent="0.25">
      <c r="D9" s="217">
        <v>0.05</v>
      </c>
      <c r="E9" s="218" t="s">
        <v>188</v>
      </c>
      <c r="F9" s="219">
        <v>0.1</v>
      </c>
    </row>
    <row r="10" spans="3:15" ht="24" customHeight="1" thickBot="1" x14ac:dyDescent="0.3">
      <c r="D10" s="237" t="s">
        <v>7</v>
      </c>
      <c r="E10" s="238" t="s">
        <v>8</v>
      </c>
      <c r="F10" s="239" t="s">
        <v>9</v>
      </c>
    </row>
    <row r="11" spans="3:15" ht="24" customHeight="1" thickBot="1" x14ac:dyDescent="0.3">
      <c r="D11" s="240">
        <v>1</v>
      </c>
      <c r="E11" s="240" t="s">
        <v>188</v>
      </c>
      <c r="F11" s="240">
        <v>1</v>
      </c>
    </row>
    <row r="12" spans="3:15" ht="6.6" customHeight="1" x14ac:dyDescent="0.25"/>
    <row r="13" spans="3:15" ht="6.6" customHeight="1" thickBot="1" x14ac:dyDescent="0.3"/>
    <row r="14" spans="3:15" x14ac:dyDescent="0.25">
      <c r="D14" s="283" t="s">
        <v>204</v>
      </c>
      <c r="E14" s="284"/>
      <c r="F14" s="285"/>
    </row>
    <row r="15" spans="3:15" ht="15.75" thickBot="1" x14ac:dyDescent="0.3">
      <c r="D15" s="241">
        <v>0.2</v>
      </c>
      <c r="E15" s="242">
        <v>0.1</v>
      </c>
      <c r="F15" s="243">
        <v>0.3</v>
      </c>
    </row>
    <row r="16" spans="3:15" ht="21.6" customHeight="1" thickBot="1" x14ac:dyDescent="0.3">
      <c r="D16" s="244" t="s">
        <v>10</v>
      </c>
      <c r="E16" s="244" t="s">
        <v>11</v>
      </c>
      <c r="F16" s="244" t="s">
        <v>12</v>
      </c>
    </row>
    <row r="17" spans="4:6" ht="21.6" customHeight="1" thickBot="1" x14ac:dyDescent="0.3">
      <c r="D17" s="236">
        <v>1.0255962807359507</v>
      </c>
      <c r="E17" s="245">
        <v>0.79842431063590313</v>
      </c>
      <c r="F17" s="245">
        <v>0.79114642451759365</v>
      </c>
    </row>
    <row r="18" spans="4:6" ht="15.75" thickBot="1" x14ac:dyDescent="0.3"/>
    <row r="19" spans="4:6" ht="16.5" thickBot="1" x14ac:dyDescent="0.3">
      <c r="D19" s="293" t="s">
        <v>206</v>
      </c>
      <c r="E19" s="293"/>
      <c r="F19" s="293"/>
    </row>
    <row r="20" spans="4:6" ht="21.75" thickBot="1" x14ac:dyDescent="0.4">
      <c r="D20" s="290">
        <v>0.88896254810644371</v>
      </c>
      <c r="E20" s="290"/>
      <c r="F20" s="290"/>
    </row>
  </sheetData>
  <mergeCells count="7">
    <mergeCell ref="D20:F20"/>
    <mergeCell ref="G4:H4"/>
    <mergeCell ref="G3:H3"/>
    <mergeCell ref="C2:H2"/>
    <mergeCell ref="D8:F8"/>
    <mergeCell ref="D14:F14"/>
    <mergeCell ref="D19:F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2BB4-F71A-486A-99B4-6E6230CC9A7A}">
  <sheetPr codeName="Hoja11"/>
  <dimension ref="B4:X7"/>
  <sheetViews>
    <sheetView showGridLines="0" workbookViewId="0">
      <selection activeCell="L18" sqref="L18"/>
    </sheetView>
  </sheetViews>
  <sheetFormatPr baseColWidth="10" defaultColWidth="8.85546875" defaultRowHeight="15" x14ac:dyDescent="0.25"/>
  <cols>
    <col min="1" max="1" width="6.5703125" customWidth="1"/>
    <col min="2" max="2" width="10.7109375" customWidth="1"/>
    <col min="3" max="3" width="6.42578125" customWidth="1"/>
    <col min="5" max="5" width="6.42578125" customWidth="1"/>
    <col min="7" max="7" width="6.42578125" customWidth="1"/>
    <col min="9" max="9" width="6.42578125" customWidth="1"/>
    <col min="11" max="11" width="6.42578125" customWidth="1"/>
    <col min="13" max="13" width="6.42578125" customWidth="1"/>
    <col min="15" max="15" width="6.42578125" customWidth="1"/>
    <col min="17" max="17" width="6.42578125" customWidth="1"/>
    <col min="19" max="19" width="6.42578125" customWidth="1"/>
    <col min="21" max="21" width="6.42578125" customWidth="1"/>
    <col min="23" max="23" width="6.42578125" customWidth="1"/>
  </cols>
  <sheetData>
    <row r="4" spans="2:24" ht="24" customHeight="1" x14ac:dyDescent="0.25">
      <c r="B4" s="20" t="s">
        <v>1</v>
      </c>
      <c r="C4" s="294" t="s">
        <v>2</v>
      </c>
      <c r="D4" s="294"/>
      <c r="E4" s="294" t="s">
        <v>3</v>
      </c>
      <c r="F4" s="294"/>
      <c r="G4" s="294" t="s">
        <v>4</v>
      </c>
      <c r="H4" s="294"/>
      <c r="I4" s="294" t="s">
        <v>5</v>
      </c>
      <c r="J4" s="294"/>
      <c r="K4" s="294" t="s">
        <v>6</v>
      </c>
      <c r="L4" s="294"/>
      <c r="M4" s="294" t="s">
        <v>7</v>
      </c>
      <c r="N4" s="294"/>
      <c r="O4" s="294" t="s">
        <v>8</v>
      </c>
      <c r="P4" s="294"/>
      <c r="Q4" s="294" t="s">
        <v>9</v>
      </c>
      <c r="R4" s="294"/>
      <c r="S4" s="294" t="s">
        <v>10</v>
      </c>
      <c r="T4" s="294"/>
      <c r="U4" s="294" t="s">
        <v>11</v>
      </c>
      <c r="V4" s="294"/>
      <c r="W4" s="294" t="s">
        <v>12</v>
      </c>
      <c r="X4" s="294"/>
    </row>
    <row r="5" spans="2:24" ht="20.65" customHeight="1" x14ac:dyDescent="0.25">
      <c r="B5" s="118" t="s">
        <v>19</v>
      </c>
      <c r="C5" s="116">
        <v>3</v>
      </c>
      <c r="D5" s="117">
        <v>1.1014285714285714</v>
      </c>
      <c r="E5" s="116">
        <v>3</v>
      </c>
      <c r="F5" s="117">
        <v>1.155421686746988</v>
      </c>
      <c r="G5" s="116">
        <v>3</v>
      </c>
      <c r="H5" s="117">
        <v>1</v>
      </c>
      <c r="I5" s="116">
        <v>3</v>
      </c>
      <c r="J5" s="117">
        <v>1.0857092306136893</v>
      </c>
      <c r="K5" s="116">
        <v>3</v>
      </c>
      <c r="L5" s="117">
        <v>1.0242626314439602</v>
      </c>
      <c r="M5" s="116">
        <v>3</v>
      </c>
      <c r="N5" s="117">
        <v>1</v>
      </c>
      <c r="O5" s="116">
        <v>1</v>
      </c>
      <c r="P5" s="117">
        <v>0</v>
      </c>
      <c r="Q5" s="116">
        <v>3</v>
      </c>
      <c r="R5" s="117">
        <v>1</v>
      </c>
      <c r="S5" s="116">
        <v>3</v>
      </c>
      <c r="T5" s="117">
        <v>1.0297694072668431</v>
      </c>
      <c r="U5" s="116">
        <v>1</v>
      </c>
      <c r="V5" s="117">
        <v>0.92079207920792083</v>
      </c>
      <c r="W5" s="116">
        <v>1</v>
      </c>
      <c r="X5" s="117">
        <v>0.90266666666666662</v>
      </c>
    </row>
    <row r="6" spans="2:24" ht="20.65" customHeight="1" x14ac:dyDescent="0.25">
      <c r="B6" s="118" t="s">
        <v>20</v>
      </c>
      <c r="C6" s="116">
        <v>1</v>
      </c>
      <c r="D6" s="117">
        <v>0.89142857142857146</v>
      </c>
      <c r="E6" s="116">
        <v>3</v>
      </c>
      <c r="F6" s="117">
        <v>1.2048192771084338</v>
      </c>
      <c r="G6" s="116">
        <v>3</v>
      </c>
      <c r="H6" s="117">
        <v>1</v>
      </c>
      <c r="I6" s="116">
        <v>3</v>
      </c>
      <c r="J6" s="117">
        <v>1.0987458046281573</v>
      </c>
      <c r="K6" s="116">
        <v>1</v>
      </c>
      <c r="L6" s="117">
        <v>0.97719869706840379</v>
      </c>
      <c r="M6" s="116">
        <v>3</v>
      </c>
      <c r="N6" s="117">
        <v>1</v>
      </c>
      <c r="O6" s="116">
        <v>1</v>
      </c>
      <c r="P6" s="117">
        <v>0</v>
      </c>
      <c r="Q6" s="116">
        <v>3</v>
      </c>
      <c r="R6" s="117">
        <v>1</v>
      </c>
      <c r="S6" s="116">
        <v>3</v>
      </c>
      <c r="T6" s="117">
        <v>1.1040704099227405</v>
      </c>
      <c r="U6" s="116">
        <v>3</v>
      </c>
      <c r="V6" s="117">
        <v>1.0258620689655173</v>
      </c>
      <c r="W6" s="116">
        <v>1</v>
      </c>
      <c r="X6" s="117">
        <v>0.91381345926800472</v>
      </c>
    </row>
    <row r="7" spans="2:24" ht="20.65" customHeight="1" x14ac:dyDescent="0.25">
      <c r="B7" s="118" t="s">
        <v>21</v>
      </c>
      <c r="C7" s="116">
        <v>1</v>
      </c>
      <c r="D7" s="117">
        <v>0.80714285714285716</v>
      </c>
      <c r="E7" s="116">
        <v>3</v>
      </c>
      <c r="F7" s="117">
        <v>1.1048192771084338</v>
      </c>
      <c r="G7" s="116">
        <v>3</v>
      </c>
      <c r="H7" s="117">
        <v>1</v>
      </c>
      <c r="I7" s="116">
        <v>3</v>
      </c>
      <c r="J7" s="117">
        <v>1.0716166403370195</v>
      </c>
      <c r="K7" s="116">
        <v>1</v>
      </c>
      <c r="L7" s="117">
        <v>0.89548546691403852</v>
      </c>
      <c r="M7" s="116">
        <v>3</v>
      </c>
      <c r="N7" s="117">
        <v>1</v>
      </c>
      <c r="O7" s="116">
        <v>1</v>
      </c>
      <c r="P7" s="117">
        <v>0</v>
      </c>
      <c r="Q7" s="116">
        <v>3</v>
      </c>
      <c r="R7" s="117">
        <v>1</v>
      </c>
      <c r="S7" s="116">
        <v>3</v>
      </c>
      <c r="T7" s="117">
        <v>1.1484138420733871</v>
      </c>
      <c r="U7" s="116">
        <v>3</v>
      </c>
      <c r="V7" s="117">
        <v>1.1195652173913044</v>
      </c>
      <c r="W7" s="116">
        <v>1</v>
      </c>
      <c r="X7" s="117">
        <v>0.95133819951338194</v>
      </c>
    </row>
  </sheetData>
  <mergeCells count="11">
    <mergeCell ref="K4:L4"/>
    <mergeCell ref="I4:J4"/>
    <mergeCell ref="G4:H4"/>
    <mergeCell ref="E4:F4"/>
    <mergeCell ref="C4:D4"/>
    <mergeCell ref="M4:N4"/>
    <mergeCell ref="W4:X4"/>
    <mergeCell ref="U4:V4"/>
    <mergeCell ref="S4:T4"/>
    <mergeCell ref="Q4:R4"/>
    <mergeCell ref="O4:P4"/>
  </mergeCells>
  <conditionalFormatting sqref="C5:C7">
    <cfRule type="iconSet" priority="12">
      <iconSet showValue="0">
        <cfvo type="percent" val="0"/>
        <cfvo type="num" val="2"/>
        <cfvo type="num" val="3"/>
      </iconSet>
    </cfRule>
  </conditionalFormatting>
  <conditionalFormatting sqref="E5:E7">
    <cfRule type="iconSet" priority="10">
      <iconSet showValue="0">
        <cfvo type="percent" val="0"/>
        <cfvo type="num" val="2"/>
        <cfvo type="num" val="3"/>
      </iconSet>
    </cfRule>
  </conditionalFormatting>
  <conditionalFormatting sqref="G5:G7">
    <cfRule type="iconSet" priority="9">
      <iconSet showValue="0">
        <cfvo type="percent" val="0"/>
        <cfvo type="num" val="2"/>
        <cfvo type="num" val="3"/>
      </iconSet>
    </cfRule>
  </conditionalFormatting>
  <conditionalFormatting sqref="I5:I7">
    <cfRule type="iconSet" priority="8">
      <iconSet showValue="0">
        <cfvo type="percent" val="0"/>
        <cfvo type="num" val="2"/>
        <cfvo type="num" val="3"/>
      </iconSet>
    </cfRule>
  </conditionalFormatting>
  <conditionalFormatting sqref="K5:K7">
    <cfRule type="iconSet" priority="7">
      <iconSet showValue="0">
        <cfvo type="percent" val="0"/>
        <cfvo type="num" val="2"/>
        <cfvo type="num" val="3"/>
      </iconSet>
    </cfRule>
  </conditionalFormatting>
  <conditionalFormatting sqref="M5:M7">
    <cfRule type="iconSet" priority="6">
      <iconSet showValue="0">
        <cfvo type="percent" val="0"/>
        <cfvo type="num" val="2"/>
        <cfvo type="num" val="3"/>
      </iconSet>
    </cfRule>
  </conditionalFormatting>
  <conditionalFormatting sqref="O5:O7">
    <cfRule type="iconSet" priority="5">
      <iconSet showValue="0">
        <cfvo type="percent" val="0"/>
        <cfvo type="num" val="2"/>
        <cfvo type="num" val="3"/>
      </iconSet>
    </cfRule>
  </conditionalFormatting>
  <conditionalFormatting sqref="Q5:Q7">
    <cfRule type="iconSet" priority="4">
      <iconSet showValue="0">
        <cfvo type="percent" val="0"/>
        <cfvo type="num" val="2"/>
        <cfvo type="num" val="3"/>
      </iconSet>
    </cfRule>
  </conditionalFormatting>
  <conditionalFormatting sqref="S5:S7">
    <cfRule type="iconSet" priority="3">
      <iconSet showValue="0">
        <cfvo type="percent" val="0"/>
        <cfvo type="num" val="2"/>
        <cfvo type="num" val="3"/>
      </iconSet>
    </cfRule>
  </conditionalFormatting>
  <conditionalFormatting sqref="U5:U7">
    <cfRule type="iconSet" priority="2">
      <iconSet showValue="0">
        <cfvo type="percent" val="0"/>
        <cfvo type="num" val="2"/>
        <cfvo type="num" val="3"/>
      </iconSet>
    </cfRule>
  </conditionalFormatting>
  <conditionalFormatting sqref="W5:W7">
    <cfRule type="iconSet" priority="1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2fb338-6e7f-46c2-a04d-1835f0b57452" xsi:nil="true"/>
    <lcf76f155ced4ddcb4097134ff3c332f xmlns="22ff7873-98f4-4119-bbca-70544c3aade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9CBAF11028447B385221D9B36D96A" ma:contentTypeVersion="15" ma:contentTypeDescription="Create a new document." ma:contentTypeScope="" ma:versionID="09be7b49b3ef9a75f18b705818ef77e7">
  <xsd:schema xmlns:xsd="http://www.w3.org/2001/XMLSchema" xmlns:xs="http://www.w3.org/2001/XMLSchema" xmlns:p="http://schemas.microsoft.com/office/2006/metadata/properties" xmlns:ns2="22ff7873-98f4-4119-bbca-70544c3aaded" xmlns:ns3="242fb338-6e7f-46c2-a04d-1835f0b57452" targetNamespace="http://schemas.microsoft.com/office/2006/metadata/properties" ma:root="true" ma:fieldsID="2802d257e544272840eb93994043e80d" ns2:_="" ns3:_="">
    <xsd:import namespace="22ff7873-98f4-4119-bbca-70544c3aaded"/>
    <xsd:import namespace="242fb338-6e7f-46c2-a04d-1835f0b574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7873-98f4-4119-bbca-70544c3aa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e993f94-6c0e-4a87-8957-b0e4ba0de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fb338-6e7f-46c2-a04d-1835f0b5745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26729c6-d9c5-4601-b62f-5163f218f012}" ma:internalName="TaxCatchAll" ma:showField="CatchAllData" ma:web="242fb338-6e7f-46c2-a04d-1835f0b57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AA903F-84BC-4B1C-9BC3-FB43A782A246}">
  <ds:schemaRefs>
    <ds:schemaRef ds:uri="http://www.w3.org/XML/1998/namespace"/>
    <ds:schemaRef ds:uri="22ff7873-98f4-4119-bbca-70544c3aaded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242fb338-6e7f-46c2-a04d-1835f0b57452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34DA8F5-60A1-4558-9A54-21F8114614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A69235-E416-4829-BB38-0C60BB2D4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ff7873-98f4-4119-bbca-70544c3aaded"/>
    <ds:schemaRef ds:uri="242fb338-6e7f-46c2-a04d-1835f0b57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AP25</vt:lpstr>
      <vt:lpstr>OR Q1</vt:lpstr>
      <vt:lpstr>OR Q2</vt:lpstr>
      <vt:lpstr>AP25JUL</vt:lpstr>
      <vt:lpstr>OR AUG</vt:lpstr>
      <vt:lpstr>AP25AUG</vt:lpstr>
      <vt:lpstr>OR SEP</vt:lpstr>
      <vt:lpstr>Sheet1</vt:lpstr>
      <vt:lpstr>AP25SEP</vt:lpstr>
      <vt:lpstr>Sheet2</vt:lpstr>
      <vt:lpstr>Grupo Q</vt:lpstr>
    </vt:vector>
  </TitlesOfParts>
  <Manager/>
  <Company>Nissan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Andrade Hernandez, Ruben</dc:creator>
  <cp:keywords/>
  <dc:description/>
  <cp:lastModifiedBy>Mauricio Hernandez</cp:lastModifiedBy>
  <cp:revision/>
  <dcterms:created xsi:type="dcterms:W3CDTF">2025-07-25T20:17:59Z</dcterms:created>
  <dcterms:modified xsi:type="dcterms:W3CDTF">2026-01-28T02:00:28Z</dcterms:modified>
  <cp:category>NONE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0x010100A1B9CBAF11028447B385221D9B36D96A</vt:lpwstr>
  </property>
  <property fmtid="{D5CDD505-2E9C-101B-9397-08002B2CF9AE}" pid="3" name="MediaServiceImageTags">
    <vt:lpwstr/>
  </property>
</Properties>
</file>