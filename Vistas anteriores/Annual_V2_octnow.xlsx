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a3788c24686780f/Escritorio/Nissan/Dashboard_NIBU/Vistas anteriores/"/>
    </mc:Choice>
  </mc:AlternateContent>
  <xr:revisionPtr revIDLastSave="5" documentId="13_ncr:1_{6EFBBC1E-E11D-48A9-9603-177529F04DEF}" xr6:coauthVersionLast="47" xr6:coauthVersionMax="47" xr10:uidLastSave="{7D20A652-FA4E-4046-BA06-029755326CB0}"/>
  <bookViews>
    <workbookView xWindow="-28920" yWindow="-6105" windowWidth="29040" windowHeight="15720" firstSheet="4" activeTab="7" xr2:uid="{53836420-D36C-410F-ABBE-B356CDD75E29}"/>
  </bookViews>
  <sheets>
    <sheet name="AP25" sheetId="1" r:id="rId1"/>
    <sheet name="OR Q1" sheetId="2" r:id="rId2"/>
    <sheet name="OR Q2" sheetId="4" r:id="rId3"/>
    <sheet name="AP25JUL" sheetId="5" r:id="rId4"/>
    <sheet name="OR AUG" sheetId="7" r:id="rId5"/>
    <sheet name="AP25AUG" sheetId="8" r:id="rId6"/>
    <sheet name="OR SEP" sheetId="9" r:id="rId7"/>
    <sheet name="Sheet1" sheetId="11" r:id="rId8"/>
    <sheet name="AP25SEP" sheetId="10" r:id="rId9"/>
    <sheet name="Sheet2" sheetId="12" r:id="rId10"/>
    <sheet name="Grupo Q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7" i="11" l="1"/>
  <c r="P48" i="11" l="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E60" i="10" l="1"/>
  <c r="E61" i="10"/>
  <c r="E62" i="10"/>
  <c r="E63" i="10"/>
  <c r="E64" i="10"/>
  <c r="E65" i="10"/>
  <c r="E66" i="10"/>
  <c r="E67" i="10"/>
  <c r="E68" i="10"/>
  <c r="E69" i="10"/>
  <c r="E70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H59" i="10" l="1"/>
  <c r="G17" i="10"/>
  <c r="G18" i="10"/>
  <c r="Z6" i="9"/>
  <c r="G6" i="10" s="1"/>
  <c r="Z7" i="9"/>
  <c r="G9" i="10" s="1"/>
  <c r="Z8" i="9"/>
  <c r="G4" i="10" s="1"/>
  <c r="Z9" i="9"/>
  <c r="G5" i="10" s="1"/>
  <c r="Z10" i="9"/>
  <c r="G8" i="10" s="1"/>
  <c r="Z11" i="9"/>
  <c r="G16" i="10" s="1"/>
  <c r="Z12" i="9"/>
  <c r="G15" i="10" s="1"/>
  <c r="Z13" i="9"/>
  <c r="G12" i="10" s="1"/>
  <c r="Z14" i="9"/>
  <c r="G10" i="10" s="1"/>
  <c r="Z15" i="9"/>
  <c r="G14" i="10" s="1"/>
  <c r="Z16" i="9"/>
  <c r="G13" i="10" s="1"/>
  <c r="Z17" i="9"/>
  <c r="G11" i="10" s="1"/>
  <c r="Z18" i="9"/>
  <c r="Z5" i="9"/>
  <c r="G7" i="10" s="1"/>
  <c r="S36" i="9" l="1"/>
  <c r="T36" i="9"/>
  <c r="S35" i="9"/>
  <c r="T35" i="9"/>
  <c r="R36" i="9"/>
  <c r="Q36" i="9"/>
  <c r="R35" i="9"/>
  <c r="Q35" i="9"/>
  <c r="M44" i="9"/>
  <c r="M45" i="9"/>
  <c r="M46" i="9"/>
  <c r="M47" i="9"/>
  <c r="M48" i="9"/>
  <c r="M49" i="9"/>
  <c r="M50" i="9"/>
  <c r="M51" i="9"/>
  <c r="M52" i="9"/>
  <c r="M53" i="9"/>
  <c r="M54" i="9"/>
  <c r="M55" i="9"/>
  <c r="M43" i="9"/>
  <c r="C78" i="9"/>
  <c r="C76" i="9"/>
  <c r="C75" i="9"/>
  <c r="L36" i="9"/>
  <c r="L35" i="9"/>
  <c r="K36" i="9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L53" i="9" s="1"/>
  <c r="L14" i="10" s="1"/>
  <c r="L50" i="10" s="1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L45" i="9" s="1"/>
  <c r="L6" i="10" s="1"/>
  <c r="L42" i="10" s="1"/>
  <c r="P5" i="9"/>
  <c r="L43" i="9" s="1"/>
  <c r="L4" i="10" s="1"/>
  <c r="L40" i="10" s="1"/>
  <c r="M6" i="9"/>
  <c r="K55" i="9" s="1"/>
  <c r="K16" i="10" s="1"/>
  <c r="K52" i="10" s="1"/>
  <c r="M7" i="9"/>
  <c r="K46" i="9" s="1"/>
  <c r="K7" i="10" s="1"/>
  <c r="K43" i="10" s="1"/>
  <c r="M8" i="9"/>
  <c r="K54" i="9" s="1"/>
  <c r="K15" i="10" s="1"/>
  <c r="K51" i="10" s="1"/>
  <c r="M9" i="9"/>
  <c r="K48" i="9" s="1"/>
  <c r="K9" i="10" s="1"/>
  <c r="K45" i="10" s="1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K50" i="9" s="1"/>
  <c r="K11" i="10" s="1"/>
  <c r="K47" i="10" s="1"/>
  <c r="M27" i="9"/>
  <c r="K51" i="9" s="1"/>
  <c r="K12" i="10" s="1"/>
  <c r="K48" i="10" s="1"/>
  <c r="M28" i="9"/>
  <c r="M29" i="9"/>
  <c r="M30" i="9"/>
  <c r="M31" i="9"/>
  <c r="K52" i="9" s="1"/>
  <c r="K13" i="10" s="1"/>
  <c r="K49" i="10" s="1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N35" i="9" l="1"/>
  <c r="O35" i="9"/>
  <c r="D76" i="9"/>
  <c r="E72" i="10" s="1"/>
  <c r="O36" i="9"/>
  <c r="D75" i="9"/>
  <c r="M36" i="9"/>
  <c r="K57" i="9" s="1"/>
  <c r="K18" i="10" s="1"/>
  <c r="K54" i="10" s="1"/>
  <c r="N36" i="9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P35" i="9" l="1"/>
  <c r="L56" i="9" s="1"/>
  <c r="L17" i="10" s="1"/>
  <c r="L53" i="10" s="1"/>
  <c r="N53" i="10" s="1"/>
  <c r="D71" i="10" s="1"/>
  <c r="P36" i="9"/>
  <c r="L57" i="9" s="1"/>
  <c r="L18" i="10" s="1"/>
  <c r="L54" i="10" s="1"/>
  <c r="N54" i="10" s="1"/>
  <c r="D72" i="10" s="1"/>
  <c r="M57" i="9"/>
  <c r="E71" i="10"/>
  <c r="M56" i="9"/>
  <c r="AI19" i="8"/>
  <c r="AQ37" i="7" l="1"/>
  <c r="AQ36" i="7"/>
  <c r="AP37" i="7"/>
  <c r="AM37" i="7" s="1"/>
  <c r="AO37" i="7" s="1"/>
  <c r="AK55" i="7" s="1"/>
  <c r="AP36" i="7"/>
  <c r="AK37" i="7"/>
  <c r="AK36" i="7"/>
  <c r="AJ37" i="7"/>
  <c r="AJ36" i="7"/>
  <c r="AO7" i="7"/>
  <c r="AK53" i="7" s="1"/>
  <c r="AO8" i="7"/>
  <c r="AK44" i="7" s="1"/>
  <c r="AO9" i="7"/>
  <c r="AK52" i="7" s="1"/>
  <c r="AO10" i="7"/>
  <c r="AK46" i="7" s="1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K45" i="7" s="1"/>
  <c r="AO25" i="7"/>
  <c r="AK51" i="7" s="1"/>
  <c r="AO26" i="7"/>
  <c r="AK47" i="7" s="1"/>
  <c r="AO27" i="7"/>
  <c r="AK48" i="7" s="1"/>
  <c r="AO28" i="7"/>
  <c r="AK49" i="7" s="1"/>
  <c r="AO32" i="7"/>
  <c r="AK50" i="7" s="1"/>
  <c r="AO33" i="7"/>
  <c r="AO34" i="7"/>
  <c r="AK42" i="7" s="1"/>
  <c r="AO35" i="7"/>
  <c r="AK43" i="7" s="1"/>
  <c r="AO6" i="7"/>
  <c r="AK41" i="7" s="1"/>
  <c r="W61" i="7"/>
  <c r="P61" i="7"/>
  <c r="AL36" i="7" l="1"/>
  <c r="AJ54" i="7" s="1"/>
  <c r="AM36" i="7"/>
  <c r="AO36" i="7" s="1"/>
  <c r="AK54" i="7" s="1"/>
  <c r="AL37" i="7"/>
  <c r="AJ55" i="7" s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6" i="8" s="1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J53" i="7" s="1"/>
  <c r="AL8" i="7"/>
  <c r="AJ44" i="7" s="1"/>
  <c r="AL9" i="7"/>
  <c r="AJ52" i="7" s="1"/>
  <c r="AL10" i="7"/>
  <c r="AJ46" i="7" s="1"/>
  <c r="AL18" i="7"/>
  <c r="AL23" i="7"/>
  <c r="AL24" i="7"/>
  <c r="AJ45" i="7" s="1"/>
  <c r="AL25" i="7"/>
  <c r="AJ51" i="7" s="1"/>
  <c r="AL26" i="7"/>
  <c r="AJ47" i="7" s="1"/>
  <c r="AL27" i="7"/>
  <c r="AJ48" i="7" s="1"/>
  <c r="AL28" i="7"/>
  <c r="AJ49" i="7" s="1"/>
  <c r="AL29" i="7"/>
  <c r="AL30" i="7"/>
  <c r="AL31" i="7"/>
  <c r="AL32" i="7"/>
  <c r="AJ50" i="7" s="1"/>
  <c r="AL33" i="7"/>
  <c r="AL34" i="7"/>
  <c r="AJ42" i="7" s="1"/>
  <c r="AL35" i="7"/>
  <c r="AJ43" i="7" s="1"/>
  <c r="AL6" i="7"/>
  <c r="AJ41" i="7" s="1"/>
  <c r="AE37" i="7"/>
  <c r="AF37" i="7"/>
  <c r="AE36" i="7"/>
  <c r="AF36" i="7"/>
  <c r="AD36" i="7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AA36" i="7" l="1"/>
  <c r="Z36" i="7"/>
  <c r="AA37" i="7"/>
  <c r="Z37" i="7"/>
  <c r="Y37" i="7"/>
  <c r="K18" i="8" s="1"/>
  <c r="Y36" i="7"/>
  <c r="K17" i="8" s="1"/>
  <c r="AB36" i="7" l="1"/>
  <c r="L17" i="8" s="1"/>
  <c r="AB37" i="7"/>
  <c r="L18" i="8" s="1"/>
  <c r="Q6" i="7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Y18" i="4"/>
  <c r="G18" i="5" s="1"/>
  <c r="D30" i="7" l="1"/>
  <c r="D24" i="7"/>
  <c r="BC17" i="7" s="1"/>
  <c r="D22" i="7"/>
  <c r="W45" i="7" s="1"/>
  <c r="D6" i="7"/>
  <c r="D23" i="7"/>
  <c r="BH13" i="7" s="1"/>
  <c r="D5" i="7"/>
  <c r="D16" i="7"/>
  <c r="D15" i="7"/>
  <c r="D14" i="7"/>
  <c r="D32" i="7"/>
  <c r="D31" i="7"/>
  <c r="D7" i="7"/>
  <c r="D13" i="7"/>
  <c r="D3" i="7"/>
  <c r="D28" i="7"/>
  <c r="D20" i="7"/>
  <c r="D11" i="7"/>
  <c r="D12" i="7"/>
  <c r="D36" i="7"/>
  <c r="D37" i="7"/>
  <c r="D35" i="7"/>
  <c r="D19" i="7"/>
  <c r="D34" i="7"/>
  <c r="D26" i="7"/>
  <c r="D18" i="7"/>
  <c r="D9" i="7"/>
  <c r="D29" i="7"/>
  <c r="D21" i="7"/>
  <c r="D4" i="7"/>
  <c r="D27" i="7"/>
  <c r="D10" i="7"/>
  <c r="D33" i="7"/>
  <c r="BH18" i="7" s="1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E66" i="8" l="1"/>
  <c r="I31" i="7"/>
  <c r="W54" i="7"/>
  <c r="AB54" i="7"/>
  <c r="R54" i="7"/>
  <c r="E67" i="8"/>
  <c r="BH16" i="7"/>
  <c r="BM11" i="7"/>
  <c r="AL45" i="7"/>
  <c r="I32" i="7"/>
  <c r="BM12" i="7"/>
  <c r="BH8" i="7"/>
  <c r="AL50" i="7"/>
  <c r="BM18" i="7"/>
  <c r="BH5" i="7"/>
  <c r="AL53" i="7"/>
  <c r="BH19" i="7"/>
  <c r="BM15" i="7"/>
  <c r="AL46" i="7"/>
  <c r="BM6" i="7"/>
  <c r="BH7" i="7"/>
  <c r="AL43" i="7"/>
  <c r="I26" i="7"/>
  <c r="BH9" i="7"/>
  <c r="BM13" i="7"/>
  <c r="AL44" i="7"/>
  <c r="I30" i="7"/>
  <c r="BM8" i="7"/>
  <c r="BH12" i="7"/>
  <c r="AL48" i="7"/>
  <c r="BM9" i="7"/>
  <c r="BH10" i="7"/>
  <c r="AL47" i="7"/>
  <c r="BM14" i="7"/>
  <c r="BH17" i="7"/>
  <c r="AL52" i="7"/>
  <c r="BM16" i="7"/>
  <c r="AL54" i="7"/>
  <c r="BM5" i="7"/>
  <c r="BH6" i="7"/>
  <c r="AL41" i="7"/>
  <c r="BM17" i="7"/>
  <c r="BH14" i="7"/>
  <c r="AL49" i="7"/>
  <c r="BH15" i="7"/>
  <c r="BM7" i="7"/>
  <c r="AL42" i="7"/>
  <c r="BM19" i="7"/>
  <c r="AL55" i="7"/>
  <c r="BM10" i="7"/>
  <c r="BH11" i="7"/>
  <c r="AL51" i="7"/>
  <c r="AB49" i="7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3" i="7" l="1"/>
  <c r="BO7" i="7"/>
  <c r="BO6" i="7"/>
  <c r="BO5" i="7"/>
  <c r="BM20" i="7"/>
  <c r="J24" i="7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6" i="4" l="1"/>
  <c r="S28" i="4"/>
  <c r="BO8" i="7"/>
  <c r="BO9" i="7" s="1"/>
  <c r="S30" i="4"/>
  <c r="G15" i="5" s="1"/>
  <c r="G51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G40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6" i="4"/>
  <c r="E64" i="4"/>
  <c r="J83" i="4" s="1"/>
  <c r="E63" i="4"/>
  <c r="J82" i="4" s="1"/>
  <c r="E71" i="4"/>
  <c r="J90" i="4" s="1"/>
  <c r="E68" i="4"/>
  <c r="J87" i="4" s="1"/>
  <c r="E72" i="4"/>
  <c r="J91" i="4" s="1"/>
  <c r="E66" i="4"/>
  <c r="J85" i="4" s="1"/>
  <c r="E65" i="4"/>
  <c r="J84" i="4" s="1"/>
  <c r="E74" i="4"/>
  <c r="J93" i="4" s="1"/>
  <c r="E69" i="4"/>
  <c r="J88" i="4" s="1"/>
  <c r="E67" i="4"/>
  <c r="J86" i="4" s="1"/>
  <c r="E70" i="4"/>
  <c r="J89" i="4" s="1"/>
  <c r="E75" i="4"/>
  <c r="J94" i="4" s="1"/>
  <c r="E62" i="4"/>
  <c r="J81" i="4" s="1"/>
  <c r="E73" i="5" l="1"/>
  <c r="J95" i="4"/>
  <c r="E72" i="5"/>
  <c r="J92" i="4"/>
  <c r="E71" i="5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45" i="1" s="1"/>
  <c r="P9" i="1"/>
  <c r="P46" i="1" s="1"/>
  <c r="P10" i="1"/>
  <c r="P11" i="1"/>
  <c r="P48" i="1" s="1"/>
  <c r="P12" i="1"/>
  <c r="P49" i="1" s="1"/>
  <c r="P13" i="1"/>
  <c r="P50" i="1" s="1"/>
  <c r="P14" i="1"/>
  <c r="P51" i="1" s="1"/>
  <c r="P15" i="1"/>
  <c r="P52" i="1" s="1"/>
  <c r="P16" i="1"/>
  <c r="P53" i="1" s="1"/>
  <c r="P17" i="1"/>
  <c r="P54" i="1" s="1"/>
  <c r="P18" i="1"/>
  <c r="P55" i="1" s="1"/>
  <c r="P19" i="1"/>
  <c r="P56" i="1" s="1"/>
  <c r="P5" i="1"/>
  <c r="P42" i="1" s="1"/>
  <c r="O6" i="1"/>
  <c r="O43" i="1" s="1"/>
  <c r="O7" i="1"/>
  <c r="O44" i="1" s="1"/>
  <c r="O8" i="1"/>
  <c r="O45" i="1" s="1"/>
  <c r="O9" i="1"/>
  <c r="O46" i="1" s="1"/>
  <c r="O10" i="1"/>
  <c r="O47" i="1" s="1"/>
  <c r="O11" i="1"/>
  <c r="O48" i="1" s="1"/>
  <c r="O12" i="1"/>
  <c r="O49" i="1" s="1"/>
  <c r="O13" i="1"/>
  <c r="O50" i="1" s="1"/>
  <c r="O14" i="1"/>
  <c r="O51" i="1" s="1"/>
  <c r="O15" i="1"/>
  <c r="O52" i="1" s="1"/>
  <c r="O16" i="1"/>
  <c r="O53" i="1" s="1"/>
  <c r="O17" i="1"/>
  <c r="O54" i="1" s="1"/>
  <c r="O18" i="1"/>
  <c r="O55" i="1" s="1"/>
  <c r="O19" i="1"/>
  <c r="O56" i="1" s="1"/>
  <c r="N6" i="1"/>
  <c r="N43" i="1" s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51" i="1" s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G44" i="1"/>
  <c r="H44" i="1"/>
  <c r="K44" i="1"/>
  <c r="L44" i="1"/>
  <c r="M44" i="1"/>
  <c r="P44" i="1"/>
  <c r="G45" i="1"/>
  <c r="H45" i="1"/>
  <c r="I45" i="1"/>
  <c r="K45" i="1"/>
  <c r="L45" i="1"/>
  <c r="M45" i="1"/>
  <c r="G46" i="1"/>
  <c r="H46" i="1"/>
  <c r="I46" i="1"/>
  <c r="K46" i="1"/>
  <c r="L46" i="1"/>
  <c r="M46" i="1"/>
  <c r="G47" i="1"/>
  <c r="H47" i="1"/>
  <c r="I47" i="1"/>
  <c r="L47" i="1"/>
  <c r="M47" i="1"/>
  <c r="P47" i="1"/>
  <c r="G48" i="1"/>
  <c r="H48" i="1"/>
  <c r="L48" i="1"/>
  <c r="M48" i="1"/>
  <c r="G49" i="1"/>
  <c r="H49" i="1"/>
  <c r="I49" i="1"/>
  <c r="L49" i="1"/>
  <c r="M49" i="1"/>
  <c r="G50" i="1"/>
  <c r="H50" i="1"/>
  <c r="I50" i="1"/>
  <c r="L50" i="1"/>
  <c r="M50" i="1"/>
  <c r="G51" i="1"/>
  <c r="H51" i="1"/>
  <c r="I51" i="1"/>
  <c r="L51" i="1"/>
  <c r="M51" i="1"/>
  <c r="G52" i="1"/>
  <c r="H52" i="1"/>
  <c r="I52" i="1"/>
  <c r="K52" i="1"/>
  <c r="M52" i="1"/>
  <c r="G53" i="1"/>
  <c r="H53" i="1"/>
  <c r="I53" i="1"/>
  <c r="K53" i="1"/>
  <c r="M53" i="1"/>
  <c r="G54" i="1"/>
  <c r="H54" i="1"/>
  <c r="I54" i="1"/>
  <c r="K54" i="1"/>
  <c r="M54" i="1"/>
  <c r="G55" i="1"/>
  <c r="H55" i="1"/>
  <c r="I55" i="1"/>
  <c r="J55" i="1"/>
  <c r="K55" i="1"/>
  <c r="L55" i="1"/>
  <c r="M55" i="1"/>
  <c r="G56" i="1"/>
  <c r="H56" i="1"/>
  <c r="K56" i="1"/>
  <c r="L56" i="1"/>
  <c r="M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AR7" i="2" l="1"/>
  <c r="J10" i="1" s="1"/>
  <c r="J47" i="1" s="1"/>
  <c r="Q47" i="1" s="1"/>
  <c r="F65" i="1" s="1"/>
  <c r="AR14" i="2"/>
  <c r="J11" i="1" s="1"/>
  <c r="J48" i="1" s="1"/>
  <c r="Q48" i="1" s="1"/>
  <c r="F66" i="1" s="1"/>
  <c r="AR6" i="2"/>
  <c r="J7" i="1" s="1"/>
  <c r="J44" i="1" s="1"/>
  <c r="AR12" i="2"/>
  <c r="J16" i="1" s="1"/>
  <c r="J53" i="1" s="1"/>
  <c r="Q53" i="1" s="1"/>
  <c r="F71" i="1" s="1"/>
  <c r="AR15" i="2"/>
  <c r="J15" i="1" s="1"/>
  <c r="J52" i="1" s="1"/>
  <c r="Q52" i="1" s="1"/>
  <c r="F70" i="1" s="1"/>
  <c r="AR16" i="2"/>
  <c r="J14" i="1" s="1"/>
  <c r="J51" i="1" s="1"/>
  <c r="AR8" i="2"/>
  <c r="J5" i="1" s="1"/>
  <c r="J42" i="1" s="1"/>
  <c r="Q42" i="1" s="1"/>
  <c r="F60" i="1" s="1"/>
  <c r="AR5" i="2"/>
  <c r="J8" i="1" s="1"/>
  <c r="J45" i="1" s="1"/>
  <c r="Q45" i="1" s="1"/>
  <c r="F63" i="1" s="1"/>
  <c r="AR11" i="2"/>
  <c r="J17" i="1" s="1"/>
  <c r="J54" i="1" s="1"/>
  <c r="Q54" i="1" s="1"/>
  <c r="F72" i="1" s="1"/>
  <c r="AR18" i="2"/>
  <c r="AR10" i="2"/>
  <c r="J9" i="1" s="1"/>
  <c r="J46" i="1" s="1"/>
  <c r="Q46" i="1" s="1"/>
  <c r="F64" i="1" s="1"/>
  <c r="AR17" i="2"/>
  <c r="J12" i="1" s="1"/>
  <c r="J49" i="1" s="1"/>
  <c r="Q49" i="1" s="1"/>
  <c r="F67" i="1" s="1"/>
  <c r="AR13" i="2"/>
  <c r="J13" i="1" s="1"/>
  <c r="J50" i="1" s="1"/>
  <c r="Q50" i="1" s="1"/>
  <c r="F68" i="1" s="1"/>
  <c r="AR9" i="2"/>
  <c r="J6" i="1" s="1"/>
  <c r="J43" i="1" s="1"/>
  <c r="Q43" i="1" s="1"/>
  <c r="F61" i="1" s="1"/>
  <c r="N52" i="5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1" i="1"/>
  <c r="F69" i="1" s="1"/>
  <c r="K58" i="2"/>
  <c r="Q56" i="1"/>
  <c r="F74" i="1" s="1"/>
  <c r="Q55" i="1"/>
  <c r="F73" i="1" s="1"/>
  <c r="Q44" i="1"/>
  <c r="F62" i="1" s="1"/>
  <c r="L59" i="2"/>
  <c r="D36" i="2"/>
  <c r="K59" i="2"/>
  <c r="I58" i="2"/>
  <c r="I59" i="2"/>
  <c r="C36" i="2"/>
  <c r="J59" i="2"/>
  <c r="J58" i="2"/>
  <c r="L58" i="2"/>
  <c r="D37" i="2"/>
  <c r="C37" i="2"/>
  <c r="I63" i="2" l="1"/>
  <c r="H37" i="4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<sst xmlns="http://schemas.openxmlformats.org/spreadsheetml/2006/main" count="2204" uniqueCount="237">
  <si>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</si>
  <si>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</si>
  <si>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</si>
  <si>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</si>
  <si>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</si>
  <si>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</si>
  <si>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</si>
  <si>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</si>
  <si>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</si>
  <si>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</si>
  <si>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</si>
  <si>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</si>
  <si>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</si>
  <si>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</si>
  <si>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</si>
  <si>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</si>
  <si>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</si>
  <si>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</si>
  <si>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</si>
  <si>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</si>
  <si>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</si>
  <si>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</si>
  <si>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</si>
  <si>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</si>
  <si>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</si>
  <si>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</si>
  <si>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</si>
  <si>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</si>
  <si>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</si>
  <si>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</si>
  <si>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</si>
  <si>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</si>
  <si>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</si>
  <si>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</si>
  <si>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</si>
  <si>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</si>
  <si>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</si>
  <si>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</si>
  <si>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</si>
  <si>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</si>
  <si>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</si>
  <si>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</si>
  <si>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</si>
  <si>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</si>
  <si>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</si>
  <si>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</si>
  <si>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</si>
  <si>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</si>
  <si>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</si>
  <si>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</si>
  <si>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</si>
  <si>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</si>
  <si>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</si>
  <si>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</si>
  <si>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</si>
  <si>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</si>
  <si>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</si>
  <si>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</si>
  <si>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</si>
  <si>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</si>
  <si>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</si>
  <si>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</si>
  <si>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</si>
  <si>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</si>
  <si>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</si>
  <si>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</si>
  <si>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</si>
  <si>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</si>
  <si>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</si>
  <si>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</si>
  <si>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</si>
  <si>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</si>
  <si>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</si>
  <si>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</si>
  <si>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</si>
  <si>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</si>
  <si>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</si>
  <si>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</si>
  <si>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</si>
  <si>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</si>
  <si>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</si>
  <si>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</si>
  <si>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</si>
  <si>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</si>
  <si>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</si>
  <si>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</si>
  <si>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</si>
  <si>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</si>
  <si>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</si>
  <si>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</si>
  <si>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</si>
  <si>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</si>
  <si>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</si>
  <si>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</si>
  <si>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</si>
  <si>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</si>
  <si>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</si>
  <si>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</si>
  <si>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</si>
  <si>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</si>
  <si>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</si>
  <si>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</si>
  <si>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</si>
  <si>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</si>
  <si>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</si>
  <si>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</si>
  <si>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</si>
  <si>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</si>
  <si>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</si>
  <si>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</si>
  <si>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</si>
  <si>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</si>
  <si>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</si>
  <si>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</si>
  <si>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</si>
  <si>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</si>
  <si>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</si>
  <si>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</si>
  <si>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</si>
  <si>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</si>
  <si>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</si>
  <si>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</si>
  <si>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</si>
  <si>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</si>
  <si>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</si>
  <si>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</si>
  <si>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</si>
  <si>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</si>
  <si>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</si>
  <si>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</si>
  <si>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</si>
  <si>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</si>
  <si>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</si>
  <si>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</si>
  <si>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</si>
  <si>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</si>
  <si>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</si>
  <si>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</si>
  <si>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</si>
  <si>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</si>
  <si>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</si>
  <si>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</si>
  <si>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</si>
  <si>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</si>
  <si>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</si>
  <si>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</si>
  <si>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</si>
  <si>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</si>
  <si>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</si>
  <si>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</si>
  <si>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</si>
  <si>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</si>
  <si>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</si>
  <si>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</si>
  <si>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</si>
  <si>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</si>
  <si>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</si>
  <si>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</si>
  <si>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</si>
  <si>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</si>
  <si>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</si>
  <si>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</si>
  <si>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</si>
  <si>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</si>
  <si>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</si>
  <si>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</si>
  <si>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</si>
  <si>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</si>
  <si>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</si>
  <si>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</si>
  <si>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</si>
  <si>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</si>
  <si>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</si>
  <si>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</si>
  <si>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</si>
  <si>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</si>
  <si>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</si>
  <si>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</si>
  <si>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</si>
  <si>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</si>
  <si>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</si>
  <si>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</si>
  <si>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</si>
  <si>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tamaño de dealers de puerto rico NRC</t>
  </si>
  <si>
    <t xml:space="preserve">Legal las ventas de refacciones en PLT porque NNA vende en este mercado </t>
  </si>
  <si>
    <t xml:space="preserve">logos de EU a PLT </t>
  </si>
  <si>
    <t xml:space="preserve">junta con TOM y Diego ECA </t>
  </si>
  <si>
    <t>HIT Retomar el tema del DOA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</si>
  <si>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</si>
  <si>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</si>
  <si>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</si>
  <si>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</si>
  <si>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</si>
  <si>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</si>
  <si>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</si>
  <si>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</si>
  <si>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</si>
  <si>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</si>
  <si>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</si>
  <si>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</si>
  <si>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</si>
  <si>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</si>
  <si>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</si>
  <si>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</si>
  <si>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</si>
  <si>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</si>
  <si>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</si>
  <si>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</si>
  <si>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</si>
  <si>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</si>
  <si>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</si>
  <si>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</si>
  <si>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</si>
  <si>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</si>
  <si>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</si>
  <si>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</si>
  <si>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</si>
  <si>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</si>
  <si>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</si>
  <si>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</si>
  <si>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14/15</t>
  </si>
  <si>
    <t>&lt;85%</t>
  </si>
  <si>
    <t>TRD: 99%</t>
  </si>
  <si>
    <t>R9: 2.5%</t>
  </si>
  <si>
    <t>15/15</t>
  </si>
  <si>
    <t>CUSTOMER EXPERIENCE (15%)</t>
  </si>
  <si>
    <t>SUSTAINABLE GROWTH (70%)</t>
  </si>
  <si>
    <t>Overall Compliance</t>
  </si>
  <si>
    <t xml:space="preserve"> </t>
  </si>
  <si>
    <t>Target Sell-In2</t>
  </si>
  <si>
    <t>Real-Retention</t>
  </si>
  <si>
    <t>NSC-Target</t>
  </si>
  <si>
    <t>NSC-Sep</t>
  </si>
  <si>
    <t>real + fc</t>
  </si>
  <si>
    <t>PAÍS</t>
  </si>
  <si>
    <t>% AVANCE</t>
  </si>
  <si>
    <t>NRC-Imp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</si>
</sst>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sz val="11"/>
      <color rgb="FF1F1F1F"/>
      <name val="Arial"/>
      <family val="2"/>
    </font>
    <font>
      <b/>
      <sz val="11"/>
      <color theme="0"/>
      <name val="Calibri"/>
      <family val="2"/>
    </font>
    <font>
      <b/>
      <sz val="11"/>
      <color rgb="FF1F1F1F"/>
      <name val="Arial"/>
      <family val="2"/>
    </font>
    <font>
      <sz val="9"/>
      <color rgb="FF1F1F1F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98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9" fillId="29" borderId="43" xfId="0" applyFont="1" applyFill="1" applyBorder="1"/>
    <xf numFmtId="0" fontId="3" fillId="20" borderId="43" xfId="0" applyFont="1" applyFill="1" applyBorder="1"/>
    <xf numFmtId="0" fontId="3" fillId="0" borderId="43" xfId="0" applyFont="1" applyBorder="1"/>
    <xf numFmtId="0" fontId="30" fillId="0" borderId="44" xfId="0" applyFont="1" applyBorder="1" applyAlignment="1">
      <alignment horizontal="left" vertical="center" wrapText="1" indent="1" readingOrder="1"/>
    </xf>
    <xf numFmtId="0" fontId="28" fillId="0" borderId="44" xfId="0" applyFont="1" applyBorder="1" applyAlignment="1">
      <alignment horizontal="left" vertical="center" wrapText="1" indent="1" readingOrder="1"/>
    </xf>
    <xf numFmtId="9" fontId="28" fillId="0" borderId="44" xfId="0" applyNumberFormat="1" applyFont="1" applyBorder="1" applyAlignment="1">
      <alignment horizontal="left" vertical="center" wrapText="1" indent="1" readingOrder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9" fontId="3" fillId="0" borderId="6" xfId="2" applyFont="1" applyBorder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9" fontId="9" fillId="0" borderId="6" xfId="0" applyNumberFormat="1" applyFont="1" applyBorder="1" applyAlignment="1">
      <alignment horizontal="center" vertical="center"/>
    </xf>
    <xf numFmtId="3" fontId="31" fillId="0" borderId="44" xfId="0" applyNumberFormat="1" applyFont="1" applyBorder="1" applyAlignment="1">
      <alignment horizontal="left" vertical="center" wrapText="1" indent="1" readingOrder="1"/>
    </xf>
    <xf numFmtId="0" fontId="9" fillId="0" borderId="6" xfId="0" applyFont="1" applyBorder="1" applyAlignment="1">
      <alignment horizontal="center" vertical="center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1F1F"/>
        <name val="Calibri"/>
        <family val="2"/>
        <scheme val="none"/>
      </font>
      <numFmt numFmtId="3" formatCode="#,##0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929B33-10C4-4C38-A1F2-7DEE7422671E}" name="Table13" displayName="Table13" ref="D4:Z19" totalsRowShown="0" headerRowDxfId="24" dataDxfId="23">
  <autoFilter ref="D4:Z19" xr:uid="{8A929B33-10C4-4C38-A1F2-7DEE7422671E}"/>
  <sortState xmlns:xlrd2="http://schemas.microsoft.com/office/spreadsheetml/2017/richdata2" ref="D5:Z19">
    <sortCondition ref="D4:D19"/>
  </sortState>
  <tableColumns count="23">
    <tableColumn id="1" xr3:uid="{6D7C1C3B-662B-425E-A878-F9CAB1E70736}" name="Market" dataDxfId="22"/>
    <tableColumn id="2" xr3:uid="{3E76D9A8-1C8F-4558-AE62-4B3F0856D8CA}" name="CSI" dataDxfId="1" dataCellStyle="Porcentaje"/>
    <tableColumn id="3" xr3:uid="{9766C087-6359-4C97-B8F1-CABA684DFD28}" name="SSI" dataDxfId="0" dataCellStyle="Porcentaje"/>
    <tableColumn id="4" xr3:uid="{E7710399-A390-4299-8E23-454C6FF33E33}" name="NRC" dataDxfId="21"/>
    <tableColumn id="5" xr3:uid="{8ADF3CBF-360D-414E-A138-A7E6A1CB0ABC}" name="Training" dataDxfId="20" dataCellStyle="Porcentaje"/>
    <tableColumn id="6" xr3:uid="{C403ABBD-470C-465D-9967-CAD7A6A6FC16}" name="Ser. Campaign" dataDxfId="19"/>
    <tableColumn id="7" xr3:uid="{ED0D1BDF-C968-4040-B227-690D12802A53}" name="Lead Mng." dataDxfId="18" dataCellStyle="Porcentaje"/>
    <tableColumn id="8" xr3:uid="{678A70D5-08C0-4475-B151-1FDA122F2B43}" name="Share of Inv." dataDxfId="17" dataCellStyle="Porcentaje"/>
    <tableColumn id="9" xr3:uid="{490A077C-B1CF-4420-8C36-4602BC980D67}" name="Game Plan" dataDxfId="16" dataCellStyle="Porcentaje"/>
    <tableColumn id="10" xr3:uid="{A699BB08-E665-4172-AA6A-A3DEC7DC58CF}" name="Sell In" dataDxfId="15" dataCellStyle="Porcentaje"/>
    <tableColumn id="11" xr3:uid="{22F33692-9BAE-4539-9E15-368AF8388AB9}" name="Retention" dataDxfId="14" dataCellStyle="Porcentaje"/>
    <tableColumn id="12" xr3:uid="{A4E850D2-F565-4FE8-9450-CBF306602D13}" name="Retail Sales" dataDxfId="13" dataCellStyle="Porcentaje"/>
    <tableColumn id="13" xr3:uid="{9D3B6FD9-5B09-4ADF-9C1E-2CB78DED9062}" name="Achievement" dataDxfId="12"/>
    <tableColumn id="14" xr3:uid="{88B3BF16-EF28-4334-9860-6A690884430A}" name="Target CSI" dataDxfId="11"/>
    <tableColumn id="15" xr3:uid="{74F1A6D8-1574-424A-8FBA-BDD9FD54BE58}" name="Target SSI" dataDxfId="10" dataCellStyle="Porcentaje"/>
    <tableColumn id="16" xr3:uid="{88C8D29C-D556-47B8-91C3-C9CE29FFA0B8}" name="Target Sell-In" dataDxfId="9"/>
    <tableColumn id="18" xr3:uid="{5596719A-00D9-41C2-848E-BE70E9C99C91}" name="Target Retention" dataDxfId="8"/>
    <tableColumn id="19" xr3:uid="{87A9E838-1E8C-4EA3-BBEE-6C98D70B1157}" name="Real-Retention" dataDxfId="7"/>
    <tableColumn id="21" xr3:uid="{698DB94E-F672-4126-AD8F-BF2BD7D1DFA2}" name="Target Sell-In2" dataDxfId="6"/>
    <tableColumn id="22" xr3:uid="{FDAA6523-49E3-49AC-BA70-FFA3A71767DA}" name="Real Sell-In" dataDxfId="5"/>
    <tableColumn id="17" xr3:uid="{9A3B62A2-DF3B-4B40-8638-2E456228F9F2}" name="NSC-Target" dataDxfId="4" dataCellStyle="Porcentaje"/>
    <tableColumn id="20" xr3:uid="{2A46E5C8-24CF-488C-BF9C-454EEEFBEC0E}" name="NSC-Sep" dataDxfId="3" dataCellStyle="Porcentaje"/>
    <tableColumn id="23" xr3:uid="{C69672CD-67B0-4C33-B5A3-888DFDC9BD24}" name="NRC-Imp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sheetPr codeName="Hoja1"/>
  <dimension ref="E2:Q91"/>
  <sheetViews>
    <sheetView topLeftCell="C70" zoomScale="146" workbookViewId="0">
      <selection activeCell="H78" sqref="H78"/>
    </sheetView>
  </sheetViews>
  <sheetFormatPr baseColWidth="10" defaultColWidth="8.85546875" defaultRowHeight="15" x14ac:dyDescent="0.25"/>
  <cols>
    <col min="4" max="4" width="13.7109375" customWidth="1"/>
    <col min="5" max="5" width="14.42578125" customWidth="1"/>
    <col min="6" max="7" width="9.5703125" customWidth="1"/>
    <col min="10" max="10" width="12.5703125" bestFit="1" customWidth="1"/>
    <col min="11" max="11" width="10.5703125" customWidth="1"/>
    <col min="12" max="12" width="11.7109375" customWidth="1"/>
  </cols>
  <sheetData>
    <row r="2" spans="5:16" x14ac:dyDescent="0.25">
      <c r="E2" t="s">
        <v>0</v>
      </c>
    </row>
    <row r="4" spans="5:16" ht="24" x14ac:dyDescent="0.25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25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25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25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25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25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25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25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25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25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25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25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25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25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25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25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25">
      <c r="E21" t="s">
        <v>29</v>
      </c>
    </row>
    <row r="23" spans="5:17" ht="24" x14ac:dyDescent="0.25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25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25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25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25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25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25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25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25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25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25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25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25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25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25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25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ht="24" x14ac:dyDescent="0.25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25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25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25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25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25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25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25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25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25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25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25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25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25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25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25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25">
      <c r="E59" s="20" t="s">
        <v>1</v>
      </c>
      <c r="F59" s="20" t="s">
        <v>31</v>
      </c>
    </row>
    <row r="60" spans="5:17" x14ac:dyDescent="0.25">
      <c r="E60" s="14" t="s">
        <v>13</v>
      </c>
      <c r="F60" s="24">
        <f>Q42</f>
        <v>0.99853861628936835</v>
      </c>
    </row>
    <row r="61" spans="5:17" x14ac:dyDescent="0.25">
      <c r="E61" s="14" t="s">
        <v>14</v>
      </c>
      <c r="F61" s="24">
        <f t="shared" ref="F61:F74" si="4">Q43</f>
        <v>0.87040447644370922</v>
      </c>
    </row>
    <row r="62" spans="5:17" x14ac:dyDescent="0.25">
      <c r="E62" s="14" t="s">
        <v>15</v>
      </c>
      <c r="F62" s="24">
        <f t="shared" si="4"/>
        <v>1</v>
      </c>
    </row>
    <row r="63" spans="5:17" x14ac:dyDescent="0.25">
      <c r="E63" s="14" t="s">
        <v>16</v>
      </c>
      <c r="F63" s="24">
        <f t="shared" si="4"/>
        <v>1</v>
      </c>
    </row>
    <row r="64" spans="5:17" x14ac:dyDescent="0.25">
      <c r="E64" s="14" t="s">
        <v>17</v>
      </c>
      <c r="F64" s="24">
        <f t="shared" si="4"/>
        <v>0.9025969296478501</v>
      </c>
    </row>
    <row r="65" spans="5:7" x14ac:dyDescent="0.25">
      <c r="E65" s="14" t="s">
        <v>18</v>
      </c>
      <c r="F65" s="24">
        <f t="shared" si="4"/>
        <v>0.99331482185711462</v>
      </c>
    </row>
    <row r="66" spans="5:7" x14ac:dyDescent="0.25">
      <c r="E66" s="14" t="s">
        <v>19</v>
      </c>
      <c r="F66" s="24">
        <f t="shared" si="4"/>
        <v>0.9916803563634462</v>
      </c>
    </row>
    <row r="67" spans="5:7" x14ac:dyDescent="0.25">
      <c r="E67" s="14" t="s">
        <v>20</v>
      </c>
      <c r="F67" s="24">
        <f t="shared" si="4"/>
        <v>0.99165216744040285</v>
      </c>
    </row>
    <row r="68" spans="5:7" x14ac:dyDescent="0.25">
      <c r="E68" s="14" t="s">
        <v>21</v>
      </c>
      <c r="F68" s="24">
        <f t="shared" si="4"/>
        <v>0.98806049674858865</v>
      </c>
    </row>
    <row r="69" spans="5:7" x14ac:dyDescent="0.25">
      <c r="E69" s="14" t="s">
        <v>22</v>
      </c>
      <c r="F69" s="24">
        <f t="shared" si="4"/>
        <v>0.96485215803016755</v>
      </c>
    </row>
    <row r="70" spans="5:7" x14ac:dyDescent="0.25">
      <c r="E70" s="14" t="s">
        <v>23</v>
      </c>
      <c r="F70" s="24">
        <f t="shared" si="4"/>
        <v>0.91602592366602453</v>
      </c>
    </row>
    <row r="71" spans="5:7" x14ac:dyDescent="0.25">
      <c r="E71" s="14" t="s">
        <v>25</v>
      </c>
      <c r="F71" s="24">
        <f t="shared" si="4"/>
        <v>0.91018709913334783</v>
      </c>
    </row>
    <row r="72" spans="5:7" x14ac:dyDescent="0.25">
      <c r="E72" s="14" t="s">
        <v>26</v>
      </c>
      <c r="F72" s="24">
        <f t="shared" si="4"/>
        <v>0.97196796503609639</v>
      </c>
    </row>
    <row r="73" spans="5:7" x14ac:dyDescent="0.25">
      <c r="E73" s="14" t="s">
        <v>27</v>
      </c>
      <c r="F73" s="24">
        <f t="shared" si="4"/>
        <v>0.9393733170865739</v>
      </c>
    </row>
    <row r="74" spans="5:7" x14ac:dyDescent="0.25">
      <c r="E74" s="29" t="s">
        <v>28</v>
      </c>
      <c r="F74" s="24">
        <f t="shared" si="4"/>
        <v>0.84011720477664742</v>
      </c>
    </row>
    <row r="76" spans="5:7" x14ac:dyDescent="0.25">
      <c r="E76">
        <v>1</v>
      </c>
      <c r="F76">
        <v>2</v>
      </c>
      <c r="G76">
        <v>3</v>
      </c>
    </row>
    <row r="77" spans="5:7" x14ac:dyDescent="0.25">
      <c r="E77" s="28" t="s">
        <v>1</v>
      </c>
      <c r="F77" s="28" t="s">
        <v>32</v>
      </c>
      <c r="G77" s="28" t="s">
        <v>31</v>
      </c>
    </row>
    <row r="78" spans="5:7" x14ac:dyDescent="0.25">
      <c r="E78" s="23" t="s">
        <v>13</v>
      </c>
      <c r="F78" s="16">
        <v>0.98980082279753345</v>
      </c>
      <c r="G78" s="27">
        <v>0.99853861628936835</v>
      </c>
    </row>
    <row r="79" spans="5:7" x14ac:dyDescent="0.25">
      <c r="E79" s="23" t="s">
        <v>15</v>
      </c>
      <c r="F79" s="16">
        <v>1</v>
      </c>
      <c r="G79" s="27">
        <v>1</v>
      </c>
    </row>
    <row r="80" spans="5:7" x14ac:dyDescent="0.25">
      <c r="E80" s="23" t="s">
        <v>16</v>
      </c>
      <c r="F80" s="16">
        <v>0.96686117474328959</v>
      </c>
      <c r="G80" s="27">
        <v>1</v>
      </c>
    </row>
    <row r="81" spans="5:7" x14ac:dyDescent="0.25">
      <c r="E81" s="23" t="s">
        <v>17</v>
      </c>
      <c r="F81" s="16">
        <v>0.91</v>
      </c>
      <c r="G81" s="27">
        <v>0.9025969296478501</v>
      </c>
    </row>
    <row r="82" spans="5:7" x14ac:dyDescent="0.25">
      <c r="E82" s="23" t="s">
        <v>18</v>
      </c>
      <c r="F82" s="16">
        <v>0.93110470401828627</v>
      </c>
      <c r="G82" s="27">
        <v>0.99331482185711462</v>
      </c>
    </row>
    <row r="83" spans="5:7" x14ac:dyDescent="0.25">
      <c r="E83" s="23" t="s">
        <v>19</v>
      </c>
      <c r="F83" s="16">
        <v>0.97207402616838423</v>
      </c>
      <c r="G83" s="27">
        <v>0.9916803563634462</v>
      </c>
    </row>
    <row r="84" spans="5:7" x14ac:dyDescent="0.25">
      <c r="E84" s="23" t="s">
        <v>20</v>
      </c>
      <c r="F84" s="16">
        <v>0.97973452294246177</v>
      </c>
      <c r="G84" s="27">
        <v>0.99165216744040285</v>
      </c>
    </row>
    <row r="85" spans="5:7" x14ac:dyDescent="0.25">
      <c r="E85" s="23" t="s">
        <v>21</v>
      </c>
      <c r="F85" s="16">
        <v>0.93991571983947841</v>
      </c>
      <c r="G85" s="27">
        <v>0.98806049674858865</v>
      </c>
    </row>
    <row r="86" spans="5:7" x14ac:dyDescent="0.25">
      <c r="E86" s="23" t="s">
        <v>22</v>
      </c>
      <c r="F86" s="16">
        <v>0.94524218314862185</v>
      </c>
      <c r="G86" s="27">
        <v>0.96485215803016755</v>
      </c>
    </row>
    <row r="87" spans="5:7" x14ac:dyDescent="0.25">
      <c r="E87" s="23" t="s">
        <v>23</v>
      </c>
      <c r="F87" s="16">
        <v>0.91500000000000004</v>
      </c>
      <c r="G87" s="27">
        <v>0.91602592366602453</v>
      </c>
    </row>
    <row r="88" spans="5:7" x14ac:dyDescent="0.25">
      <c r="E88" s="23" t="s">
        <v>25</v>
      </c>
      <c r="F88" s="16">
        <v>0.99989690721649493</v>
      </c>
      <c r="G88" s="27">
        <v>0.91018709913334783</v>
      </c>
    </row>
    <row r="89" spans="5:7" x14ac:dyDescent="0.25">
      <c r="E89" s="23" t="s">
        <v>26</v>
      </c>
      <c r="F89" s="16">
        <v>0.9</v>
      </c>
      <c r="G89" s="27">
        <v>0.97196796503609639</v>
      </c>
    </row>
    <row r="90" spans="5:7" x14ac:dyDescent="0.25">
      <c r="E90" s="23" t="s">
        <v>33</v>
      </c>
      <c r="F90" s="16">
        <v>0.63392386477602281</v>
      </c>
      <c r="G90" s="27">
        <v>0.9393733170865739</v>
      </c>
    </row>
    <row r="91" spans="5:7" x14ac:dyDescent="0.25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sheetPr codeName="Hoja2"/>
  <dimension ref="B2:BB87"/>
  <sheetViews>
    <sheetView showGridLines="0" zoomScale="146" workbookViewId="0">
      <selection activeCell="AV19" sqref="AV19"/>
    </sheetView>
  </sheetViews>
  <sheetFormatPr baseColWidth="10" defaultColWidth="8.85546875" defaultRowHeight="15" x14ac:dyDescent="0.25"/>
  <cols>
    <col min="1" max="1" width="4" customWidth="1"/>
    <col min="3" max="3" width="12.42578125" customWidth="1"/>
    <col min="4" max="5" width="11.42578125" customWidth="1"/>
    <col min="6" max="6" width="12.7109375" customWidth="1"/>
    <col min="10" max="10" width="10.5703125" customWidth="1"/>
    <col min="11" max="11" width="11.5703125" customWidth="1"/>
    <col min="13" max="13" width="13.5703125" customWidth="1"/>
    <col min="16" max="16" width="12.7109375" customWidth="1"/>
    <col min="27" max="27" width="10.42578125" customWidth="1"/>
    <col min="44" max="44" width="11.7109375" customWidth="1"/>
    <col min="46" max="46" width="10.5703125" customWidth="1"/>
    <col min="48" max="48" width="13.5703125" customWidth="1"/>
    <col min="49" max="49" width="16.42578125" customWidth="1"/>
    <col min="51" max="51" width="12.42578125" customWidth="1"/>
    <col min="52" max="52" width="19.5703125" bestFit="1" customWidth="1"/>
    <col min="53" max="53" width="11" customWidth="1"/>
    <col min="54" max="54" width="12.42578125" customWidth="1"/>
  </cols>
  <sheetData>
    <row r="2" spans="2:5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.75" thickBot="1" x14ac:dyDescent="0.3">
      <c r="B3" s="263" t="s">
        <v>34</v>
      </c>
      <c r="C3" s="263" t="s">
        <v>35</v>
      </c>
      <c r="D3" s="263" t="s">
        <v>36</v>
      </c>
      <c r="E3" s="263" t="s">
        <v>37</v>
      </c>
      <c r="F3" s="265" t="s">
        <v>38</v>
      </c>
      <c r="G3" s="265" t="s">
        <v>39</v>
      </c>
      <c r="H3" s="265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67" t="s">
        <v>41</v>
      </c>
      <c r="T3" s="267"/>
      <c r="U3" s="267"/>
      <c r="V3" s="11"/>
      <c r="W3" s="267" t="s">
        <v>42</v>
      </c>
      <c r="X3" s="267"/>
      <c r="Y3" s="267"/>
      <c r="AA3">
        <v>1</v>
      </c>
      <c r="AB3">
        <v>2</v>
      </c>
      <c r="AC3">
        <v>3</v>
      </c>
      <c r="AE3" s="268" t="s">
        <v>43</v>
      </c>
      <c r="AF3" s="268"/>
      <c r="AG3" s="268"/>
      <c r="AH3" s="268"/>
      <c r="AK3" s="270" t="s">
        <v>44</v>
      </c>
      <c r="AL3" s="270"/>
      <c r="AM3" s="270"/>
      <c r="AN3" s="269" t="s">
        <v>45</v>
      </c>
      <c r="AO3" s="269"/>
      <c r="AP3" s="269"/>
      <c r="AQ3" s="269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75" thickBot="1" x14ac:dyDescent="0.3">
      <c r="B4" s="264"/>
      <c r="C4" s="264"/>
      <c r="D4" s="264"/>
      <c r="E4" s="264"/>
      <c r="F4" s="266"/>
      <c r="G4" s="266"/>
      <c r="H4" s="266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.75" thickBot="1" x14ac:dyDescent="0.3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.75" thickBot="1" x14ac:dyDescent="0.3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.75" thickBot="1" x14ac:dyDescent="0.3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.75" thickBot="1" x14ac:dyDescent="0.3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.75" thickBot="1" x14ac:dyDescent="0.3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.75" thickBot="1" x14ac:dyDescent="0.3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.75" thickBot="1" x14ac:dyDescent="0.3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.75" thickBot="1" x14ac:dyDescent="0.3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.75" thickBot="1" x14ac:dyDescent="0.3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.75" thickBot="1" x14ac:dyDescent="0.3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.75" thickBot="1" x14ac:dyDescent="0.3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.75" thickBot="1" x14ac:dyDescent="0.3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.75" thickBot="1" x14ac:dyDescent="0.3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.75" thickBot="1" x14ac:dyDescent="0.3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.75" thickBot="1" x14ac:dyDescent="0.3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25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25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25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25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25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25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25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25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25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25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25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25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25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25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25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25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25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25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25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25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25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25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25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25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25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25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25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25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25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25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25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25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25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25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25">
      <c r="B56" s="263" t="s">
        <v>34</v>
      </c>
      <c r="C56" s="265" t="s">
        <v>96</v>
      </c>
      <c r="D56" s="265" t="s">
        <v>97</v>
      </c>
      <c r="E56" s="265" t="s">
        <v>93</v>
      </c>
      <c r="F56" s="265" t="s">
        <v>94</v>
      </c>
    </row>
    <row r="57" spans="2:12" x14ac:dyDescent="0.25">
      <c r="B57" s="264"/>
      <c r="C57" s="266"/>
      <c r="D57" s="266"/>
      <c r="E57" s="266"/>
      <c r="F57" s="266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25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25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25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25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25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25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25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25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25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25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25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25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25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25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25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25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25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25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25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25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25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25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25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25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25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25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25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25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25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25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W3:Y3"/>
    <mergeCell ref="S3:U3"/>
    <mergeCell ref="AE3:AH3"/>
    <mergeCell ref="AN3:AQ3"/>
    <mergeCell ref="AK3:AM3"/>
    <mergeCell ref="H3:H4"/>
    <mergeCell ref="C56:C57"/>
    <mergeCell ref="D56:D57"/>
    <mergeCell ref="E56:E57"/>
    <mergeCell ref="F56:F57"/>
    <mergeCell ref="G3:G4"/>
    <mergeCell ref="B56:B57"/>
    <mergeCell ref="B3:B4"/>
    <mergeCell ref="C3:C4"/>
    <mergeCell ref="D3:D4"/>
    <mergeCell ref="F3:F4"/>
    <mergeCell ref="E3:E4"/>
  </mergeCells>
  <conditionalFormatting sqref="O18">
    <cfRule type="cellIs" dxfId="83" priority="4" operator="lessThan">
      <formula>0.88</formula>
    </cfRule>
  </conditionalFormatting>
  <conditionalFormatting sqref="T22:T36">
    <cfRule type="cellIs" dxfId="82" priority="2" operator="equal">
      <formula>0.9</formula>
    </cfRule>
    <cfRule type="cellIs" dxfId="81" priority="3" operator="greaterThan">
      <formula>0.9</formula>
    </cfRule>
  </conditionalFormatting>
  <conditionalFormatting sqref="AH5:AH19">
    <cfRule type="cellIs" dxfId="80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sheetPr codeName="Hoja3"/>
  <dimension ref="B2:AM95"/>
  <sheetViews>
    <sheetView topLeftCell="A58" zoomScale="127" workbookViewId="0">
      <selection activeCell="F64" sqref="F64"/>
    </sheetView>
  </sheetViews>
  <sheetFormatPr baseColWidth="10" defaultColWidth="8.85546875" defaultRowHeight="15" x14ac:dyDescent="0.25"/>
  <cols>
    <col min="1" max="1" width="5.28515625" customWidth="1"/>
    <col min="3" max="3" width="11.5703125" customWidth="1"/>
    <col min="4" max="4" width="12.42578125" customWidth="1"/>
    <col min="5" max="5" width="13.42578125" customWidth="1"/>
    <col min="6" max="6" width="12" customWidth="1"/>
    <col min="7" max="7" width="11.5703125" customWidth="1"/>
    <col min="8" max="8" width="10.5703125" customWidth="1"/>
    <col min="10" max="10" width="11" customWidth="1"/>
    <col min="11" max="11" width="8.7109375" customWidth="1"/>
    <col min="13" max="13" width="19.28515625" customWidth="1"/>
    <col min="14" max="14" width="15.42578125" customWidth="1"/>
    <col min="25" max="25" width="8.7109375" customWidth="1"/>
    <col min="28" max="28" width="12.5703125" style="11" customWidth="1"/>
    <col min="29" max="29" width="27.42578125" bestFit="1" customWidth="1"/>
    <col min="31" max="31" width="11.42578125" bestFit="1" customWidth="1"/>
    <col min="32" max="32" width="11.42578125" customWidth="1"/>
    <col min="34" max="34" width="28" bestFit="1" customWidth="1"/>
  </cols>
  <sheetData>
    <row r="2" spans="2:39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25">
      <c r="B3" s="263" t="s">
        <v>34</v>
      </c>
      <c r="C3" s="263" t="s">
        <v>35</v>
      </c>
      <c r="D3" s="265" t="s">
        <v>99</v>
      </c>
      <c r="E3" s="263" t="s">
        <v>37</v>
      </c>
      <c r="F3" s="265" t="s">
        <v>39</v>
      </c>
      <c r="G3" s="265" t="s">
        <v>100</v>
      </c>
      <c r="H3" s="265" t="s">
        <v>40</v>
      </c>
      <c r="I3" s="265" t="s">
        <v>97</v>
      </c>
      <c r="J3" s="265" t="s">
        <v>101</v>
      </c>
      <c r="K3" s="265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25">
      <c r="B4" s="264"/>
      <c r="C4" s="264"/>
      <c r="D4" s="266"/>
      <c r="E4" s="264"/>
      <c r="F4" s="266"/>
      <c r="G4" s="266"/>
      <c r="H4" s="266"/>
      <c r="I4" s="266"/>
      <c r="J4" s="266"/>
      <c r="K4" s="266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25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25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25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25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25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25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25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25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25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25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25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25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25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25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25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25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25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25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25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25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25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25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25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25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25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25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25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25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25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25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25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25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25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25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25">
      <c r="B40" t="s">
        <v>141</v>
      </c>
    </row>
    <row r="41" spans="2:26" x14ac:dyDescent="0.25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25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25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25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25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25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25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25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25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25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25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25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25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25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25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25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25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25">
      <c r="B59" t="s">
        <v>147</v>
      </c>
      <c r="G59" t="s">
        <v>148</v>
      </c>
      <c r="L59" t="s">
        <v>149</v>
      </c>
    </row>
    <row r="60" spans="2:15" x14ac:dyDescent="0.25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25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25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25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25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25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25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25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25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25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25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25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25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25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25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25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25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25">
      <c r="B78" s="126" t="s">
        <v>151</v>
      </c>
      <c r="G78" s="127" t="s">
        <v>152</v>
      </c>
    </row>
    <row r="80" spans="2:15" x14ac:dyDescent="0.25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25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25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25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25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25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25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25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25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25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25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25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25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25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25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25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sheetPr codeName="Hoja4"/>
  <dimension ref="B3:N73"/>
  <sheetViews>
    <sheetView zoomScale="127" workbookViewId="0">
      <selection activeCell="B3" sqref="B3:M3"/>
    </sheetView>
  </sheetViews>
  <sheetFormatPr baseColWidth="10" defaultColWidth="8.85546875" defaultRowHeight="15" x14ac:dyDescent="0.25"/>
  <cols>
    <col min="2" max="2" width="12.42578125" customWidth="1"/>
    <col min="7" max="7" width="12.5703125" customWidth="1"/>
    <col min="9" max="9" width="11.42578125" customWidth="1"/>
    <col min="12" max="12" width="10.42578125" customWidth="1"/>
    <col min="13" max="13" width="10.710937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25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25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25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25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25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25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25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25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25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25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25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25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25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25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25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25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25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25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25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25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25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25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25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25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25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25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25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25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25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25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25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25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25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25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25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25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25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25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25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25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25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25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25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25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25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25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25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25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25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25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25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25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25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25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25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25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sheetPr codeName="Hoja5"/>
  <dimension ref="B1:BO75"/>
  <sheetViews>
    <sheetView topLeftCell="A40" zoomScale="103" workbookViewId="0">
      <selection activeCell="G44" sqref="G44"/>
    </sheetView>
  </sheetViews>
  <sheetFormatPr baseColWidth="10" defaultColWidth="8.7109375" defaultRowHeight="15" x14ac:dyDescent="0.25"/>
  <cols>
    <col min="1" max="1" width="5.5703125" style="11" customWidth="1"/>
    <col min="2" max="2" width="13.7109375" style="11" bestFit="1" customWidth="1"/>
    <col min="3" max="3" width="8.7109375" style="11"/>
    <col min="4" max="4" width="9.7109375" style="11" customWidth="1"/>
    <col min="5" max="6" width="8.7109375" style="11"/>
    <col min="7" max="7" width="11" style="11" customWidth="1"/>
    <col min="8" max="8" width="10.42578125" style="11" customWidth="1"/>
    <col min="9" max="9" width="10.7109375" style="11" customWidth="1"/>
    <col min="10" max="10" width="11.7109375" style="11" bestFit="1" customWidth="1"/>
    <col min="11" max="11" width="12.42578125" style="11" customWidth="1"/>
    <col min="12" max="12" width="11.42578125" style="11" customWidth="1"/>
    <col min="13" max="15" width="8.7109375" style="11"/>
    <col min="16" max="16" width="9.42578125" style="11" customWidth="1"/>
    <col min="17" max="17" width="8.28515625" style="11" customWidth="1"/>
    <col min="18" max="18" width="8.7109375" style="11"/>
    <col min="19" max="19" width="9.42578125" style="11" customWidth="1"/>
    <col min="20" max="22" width="8.7109375" style="11"/>
    <col min="23" max="23" width="10.28515625" style="11" customWidth="1"/>
    <col min="24" max="24" width="10.5703125" style="11" customWidth="1"/>
    <col min="25" max="28" width="8.7109375" style="11"/>
    <col min="29" max="29" width="10.28515625" style="11" customWidth="1"/>
    <col min="30" max="30" width="8.7109375" style="11"/>
    <col min="31" max="31" width="10.28515625" style="11" customWidth="1"/>
    <col min="32" max="35" width="8.7109375" style="11"/>
    <col min="36" max="37" width="10.5703125" style="11" customWidth="1"/>
    <col min="38" max="38" width="9.5703125" style="11" bestFit="1" customWidth="1"/>
    <col min="39" max="41" width="9.5703125" style="11" customWidth="1"/>
    <col min="42" max="44" width="10.28515625" style="11" customWidth="1"/>
    <col min="45" max="46" width="8.7109375" style="11"/>
    <col min="47" max="49" width="12.5703125" style="11" customWidth="1"/>
    <col min="50" max="52" width="8.7109375" style="11"/>
    <col min="53" max="53" width="14.28515625" style="11" customWidth="1"/>
    <col min="54" max="54" width="13.28515625" style="11" customWidth="1"/>
    <col min="55" max="58" width="8.7109375" style="11"/>
    <col min="59" max="59" width="19.7109375" style="11" bestFit="1" customWidth="1"/>
    <col min="60" max="16384" width="8.7109375" style="11"/>
  </cols>
  <sheetData>
    <row r="1" spans="2:67" x14ac:dyDescent="0.25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71" t="s">
        <v>154</v>
      </c>
      <c r="AJ1" s="271"/>
      <c r="AK1" s="271"/>
      <c r="AL1" s="271"/>
      <c r="AM1" s="271"/>
      <c r="AN1" s="271"/>
      <c r="AO1" s="271"/>
      <c r="AP1" s="271"/>
      <c r="AQ1" s="271"/>
    </row>
    <row r="2" spans="2:67" x14ac:dyDescent="0.25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71" t="s">
        <v>160</v>
      </c>
      <c r="O2" s="271"/>
      <c r="P2" s="271"/>
      <c r="Q2" s="271"/>
      <c r="S2" s="11">
        <v>1</v>
      </c>
      <c r="T2" s="11">
        <v>2</v>
      </c>
    </row>
    <row r="3" spans="2:67" x14ac:dyDescent="0.25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 t="shared" ref="I3:I16" si="0"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 t="shared" ref="L3:L16" si="1"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68" t="s">
        <v>161</v>
      </c>
      <c r="AD3" s="268"/>
      <c r="AE3" s="272" t="s">
        <v>162</v>
      </c>
      <c r="AF3" s="272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25">
      <c r="B4" s="132" t="s">
        <v>81</v>
      </c>
      <c r="C4" s="132">
        <v>231</v>
      </c>
      <c r="D4" s="133">
        <f t="shared" ref="D4:D37" si="2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si="0"/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si="1"/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63" t="s">
        <v>34</v>
      </c>
      <c r="W4" s="265" t="s">
        <v>35</v>
      </c>
      <c r="X4" s="265" t="s">
        <v>36</v>
      </c>
      <c r="Y4" s="265" t="s">
        <v>165</v>
      </c>
      <c r="Z4" s="265" t="s">
        <v>166</v>
      </c>
      <c r="AA4" s="265" t="s">
        <v>39</v>
      </c>
      <c r="AB4" s="265" t="s">
        <v>165</v>
      </c>
      <c r="AC4" s="265" t="s">
        <v>97</v>
      </c>
      <c r="AD4" s="265" t="s">
        <v>93</v>
      </c>
      <c r="AE4" s="265" t="s">
        <v>97</v>
      </c>
      <c r="AF4" s="265" t="s">
        <v>93</v>
      </c>
      <c r="AI4" s="263" t="s">
        <v>34</v>
      </c>
      <c r="AJ4" s="263" t="s">
        <v>35</v>
      </c>
      <c r="AK4" s="265" t="s">
        <v>36</v>
      </c>
      <c r="AL4" s="265" t="s">
        <v>165</v>
      </c>
      <c r="AM4" s="265" t="s">
        <v>89</v>
      </c>
      <c r="AN4" s="265" t="s">
        <v>39</v>
      </c>
      <c r="AO4" s="265" t="s">
        <v>165</v>
      </c>
      <c r="AP4" s="265" t="s">
        <v>97</v>
      </c>
      <c r="AQ4" s="265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25">
      <c r="B5" s="142" t="s">
        <v>66</v>
      </c>
      <c r="C5" s="142">
        <v>137</v>
      </c>
      <c r="D5" s="143">
        <f t="shared" si="2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0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1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64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I5" s="264"/>
      <c r="AJ5" s="264"/>
      <c r="AK5" s="266"/>
      <c r="AL5" s="266"/>
      <c r="AM5" s="266"/>
      <c r="AN5" s="266"/>
      <c r="AO5" s="266"/>
      <c r="AP5" s="266"/>
      <c r="AQ5" s="266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25">
      <c r="B6" s="132" t="s">
        <v>68</v>
      </c>
      <c r="C6" s="132">
        <v>184</v>
      </c>
      <c r="D6" s="133">
        <f t="shared" si="2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0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1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25">
      <c r="B7" s="142" t="s">
        <v>69</v>
      </c>
      <c r="C7" s="142">
        <v>13</v>
      </c>
      <c r="D7" s="143">
        <f t="shared" si="2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0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1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25">
      <c r="B8" s="142" t="s">
        <v>70</v>
      </c>
      <c r="C8" s="142">
        <v>84</v>
      </c>
      <c r="D8" s="143">
        <f t="shared" si="2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0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1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25">
      <c r="B9" s="132" t="s">
        <v>82</v>
      </c>
      <c r="C9" s="132">
        <v>56</v>
      </c>
      <c r="D9" s="133">
        <f t="shared" si="2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0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1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25">
      <c r="B10" s="132" t="s">
        <v>26</v>
      </c>
      <c r="C10" s="132">
        <v>1075</v>
      </c>
      <c r="D10" s="133">
        <f t="shared" si="2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0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1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25">
      <c r="B11" s="132" t="s">
        <v>13</v>
      </c>
      <c r="C11" s="132">
        <v>13520</v>
      </c>
      <c r="D11" s="133">
        <f t="shared" si="2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0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1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25">
      <c r="B12" s="132" t="s">
        <v>15</v>
      </c>
      <c r="C12" s="132">
        <v>6589</v>
      </c>
      <c r="D12" s="133">
        <f t="shared" si="2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0"/>
        <v>0.91857142857142871</v>
      </c>
      <c r="J12" s="21">
        <f>VLOOKUP(F12,'OR Q1'!$J$4:$N$18,'OR Q1'!$N$3,FALSE)</f>
        <v>0.83</v>
      </c>
      <c r="K12" s="91">
        <v>1</v>
      </c>
      <c r="L12" s="27">
        <f t="shared" si="1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25">
      <c r="B13" s="132" t="s">
        <v>83</v>
      </c>
      <c r="C13" s="132">
        <v>263</v>
      </c>
      <c r="D13" s="133">
        <f t="shared" si="2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0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1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25">
      <c r="B14" s="142" t="s">
        <v>71</v>
      </c>
      <c r="C14" s="142">
        <v>56</v>
      </c>
      <c r="D14" s="143">
        <f t="shared" si="2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0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1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25">
      <c r="B15" s="132" t="s">
        <v>22</v>
      </c>
      <c r="C15" s="132">
        <v>2127</v>
      </c>
      <c r="D15" s="133">
        <f t="shared" si="2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0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1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25">
      <c r="B16" s="132" t="s">
        <v>16</v>
      </c>
      <c r="C16" s="132">
        <v>1860</v>
      </c>
      <c r="D16" s="133">
        <f t="shared" si="2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0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1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25">
      <c r="B17" s="132" t="s">
        <v>19</v>
      </c>
      <c r="C17" s="132">
        <v>2233</v>
      </c>
      <c r="D17" s="133">
        <f t="shared" si="2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25">
      <c r="B18" s="142" t="s">
        <v>72</v>
      </c>
      <c r="C18" s="142">
        <v>55</v>
      </c>
      <c r="D18" s="143">
        <f t="shared" si="2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25">
      <c r="B19" s="142" t="s">
        <v>73</v>
      </c>
      <c r="C19" s="142">
        <v>80</v>
      </c>
      <c r="D19" s="143">
        <f t="shared" si="2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25">
      <c r="B20" s="132" t="s">
        <v>23</v>
      </c>
      <c r="C20" s="132">
        <v>2419</v>
      </c>
      <c r="D20" s="133">
        <f t="shared" si="2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25">
      <c r="B21" s="132" t="s">
        <v>84</v>
      </c>
      <c r="C21" s="132">
        <v>81</v>
      </c>
      <c r="D21" s="133">
        <f t="shared" si="2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25">
      <c r="B22" s="132" t="s">
        <v>20</v>
      </c>
      <c r="C22" s="132">
        <v>2519</v>
      </c>
      <c r="D22" s="133">
        <f t="shared" si="2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25">
      <c r="B23" s="132" t="s">
        <v>74</v>
      </c>
      <c r="C23" s="132">
        <v>318</v>
      </c>
      <c r="D23" s="133">
        <f t="shared" si="2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25">
      <c r="B24" s="132" t="s">
        <v>21</v>
      </c>
      <c r="C24" s="132">
        <v>1176</v>
      </c>
      <c r="D24" s="133">
        <f t="shared" si="2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25">
      <c r="B25" s="132" t="s">
        <v>14</v>
      </c>
      <c r="C25" s="132">
        <v>6475</v>
      </c>
      <c r="D25" s="133">
        <f t="shared" si="2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25">
      <c r="B26" s="132" t="s">
        <v>17</v>
      </c>
      <c r="C26" s="132">
        <v>2384</v>
      </c>
      <c r="D26" s="133">
        <f t="shared" si="2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25">
      <c r="B27" s="132" t="s">
        <v>25</v>
      </c>
      <c r="C27" s="132">
        <v>2463</v>
      </c>
      <c r="D27" s="133">
        <f t="shared" si="2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25">
      <c r="B28" s="142" t="s">
        <v>75</v>
      </c>
      <c r="C28" s="142">
        <v>49</v>
      </c>
      <c r="D28" s="143">
        <f t="shared" si="2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25">
      <c r="B29" s="142" t="s">
        <v>77</v>
      </c>
      <c r="C29" s="142">
        <v>35</v>
      </c>
      <c r="D29" s="143">
        <f t="shared" si="2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25">
      <c r="B30" s="132" t="s">
        <v>79</v>
      </c>
      <c r="C30" s="132">
        <v>97</v>
      </c>
      <c r="D30" s="133">
        <f t="shared" si="2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25">
      <c r="B31" s="132" t="s">
        <v>172</v>
      </c>
      <c r="C31" s="132">
        <v>520</v>
      </c>
      <c r="D31" s="133">
        <f t="shared" si="2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25">
      <c r="B32" s="132" t="s">
        <v>80</v>
      </c>
      <c r="C32" s="132">
        <v>33</v>
      </c>
      <c r="D32" s="133">
        <f t="shared" si="2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25">
      <c r="B33" s="142" t="s">
        <v>76</v>
      </c>
      <c r="C33" s="142">
        <v>981</v>
      </c>
      <c r="D33" s="143">
        <f t="shared" si="2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25">
      <c r="B34" s="132" t="s">
        <v>18</v>
      </c>
      <c r="C34" s="132">
        <v>1858</v>
      </c>
      <c r="D34" s="133">
        <f t="shared" si="2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25">
      <c r="B35" s="11" t="s">
        <v>173</v>
      </c>
      <c r="C35" s="129">
        <f>SUM(C3:C34)</f>
        <v>49972</v>
      </c>
      <c r="D35" s="83">
        <f t="shared" si="2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25">
      <c r="B36" s="11" t="s">
        <v>78</v>
      </c>
      <c r="C36" s="129">
        <f>C30+C32+C6+C23</f>
        <v>632</v>
      </c>
      <c r="D36" s="83">
        <f t="shared" si="2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25">
      <c r="B37" s="11" t="s">
        <v>33</v>
      </c>
      <c r="C37" s="129">
        <f>C3+C5+C7+C8+C14+C18+C19+C28+C29+C33</f>
        <v>1491</v>
      </c>
      <c r="D37" s="83">
        <f t="shared" si="2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25">
      <c r="B38" s="11" t="s">
        <v>174</v>
      </c>
    </row>
    <row r="39" spans="2:44" x14ac:dyDescent="0.25">
      <c r="O39" s="11" t="s">
        <v>175</v>
      </c>
      <c r="T39" s="11" t="s">
        <v>176</v>
      </c>
      <c r="Y39" s="11" t="s">
        <v>177</v>
      </c>
    </row>
    <row r="40" spans="2:44" x14ac:dyDescent="0.25">
      <c r="F40" s="11">
        <v>1</v>
      </c>
      <c r="G40" s="11">
        <v>2</v>
      </c>
      <c r="I40" s="11" t="s">
        <v>228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25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25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25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25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25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25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25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25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25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25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25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25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25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25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25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25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25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25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25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25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25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25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25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25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25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25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25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25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25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25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25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25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25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25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25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Z4:Z5"/>
    <mergeCell ref="N2:Q2"/>
    <mergeCell ref="V4:V5"/>
    <mergeCell ref="W4:W5"/>
    <mergeCell ref="X4:X5"/>
    <mergeCell ref="Y4:Y5"/>
    <mergeCell ref="AA4:AA5"/>
    <mergeCell ref="AB4:AB5"/>
    <mergeCell ref="AC4:AC5"/>
    <mergeCell ref="AD4:AD5"/>
    <mergeCell ref="AC3:AD3"/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</mergeCells>
  <conditionalFormatting sqref="J41:J73">
    <cfRule type="cellIs" dxfId="79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sheetPr codeName="Hoja6"/>
  <dimension ref="B3:AM73"/>
  <sheetViews>
    <sheetView zoomScale="95" workbookViewId="0">
      <selection activeCell="H15" sqref="H15"/>
    </sheetView>
  </sheetViews>
  <sheetFormatPr baseColWidth="10" defaultColWidth="8.7109375" defaultRowHeight="15" x14ac:dyDescent="0.25"/>
  <cols>
    <col min="1" max="1" width="8.7109375" style="11"/>
    <col min="2" max="2" width="10.28515625" style="11" customWidth="1"/>
    <col min="3" max="34" width="8.7109375" style="11"/>
    <col min="35" max="35" width="13.7109375" style="11" bestFit="1" customWidth="1"/>
    <col min="36" max="16384" width="8.7109375" style="11"/>
  </cols>
  <sheetData>
    <row r="3" spans="2:39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273" t="s">
        <v>2</v>
      </c>
      <c r="AE3" s="273"/>
      <c r="AF3" s="273" t="s">
        <v>3</v>
      </c>
      <c r="AG3" s="273"/>
      <c r="AH3" s="274" t="s">
        <v>4</v>
      </c>
      <c r="AI3" s="275"/>
      <c r="AJ3" s="273" t="s">
        <v>5</v>
      </c>
      <c r="AK3" s="273"/>
      <c r="AL3" s="273" t="s">
        <v>182</v>
      </c>
      <c r="AM3" s="273" t="s">
        <v>6</v>
      </c>
    </row>
    <row r="4" spans="2:39" x14ac:dyDescent="0.25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67">
        <v>1</v>
      </c>
      <c r="AE4" s="276">
        <v>0.75571428571428578</v>
      </c>
      <c r="AF4" s="267">
        <v>3</v>
      </c>
      <c r="AG4" s="276">
        <v>1.053409090909091</v>
      </c>
      <c r="AH4" s="267">
        <v>3</v>
      </c>
      <c r="AI4" s="276">
        <v>1</v>
      </c>
      <c r="AJ4" s="267">
        <v>3</v>
      </c>
      <c r="AK4" s="276">
        <v>0.90102442810934147</v>
      </c>
      <c r="AL4" s="23">
        <v>3</v>
      </c>
      <c r="AM4" s="27">
        <v>1.101010101010101</v>
      </c>
    </row>
    <row r="5" spans="2:39" x14ac:dyDescent="0.25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67"/>
      <c r="AE5" s="276"/>
      <c r="AF5" s="267"/>
      <c r="AG5" s="276"/>
      <c r="AH5" s="267"/>
      <c r="AI5" s="276"/>
      <c r="AJ5" s="267"/>
      <c r="AK5" s="276"/>
      <c r="AL5" s="23">
        <v>1</v>
      </c>
      <c r="AM5" s="27">
        <v>3.0283911671924287E-2</v>
      </c>
    </row>
    <row r="6" spans="2:39" x14ac:dyDescent="0.25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  <c r="S6" s="11" t="s">
        <v>183</v>
      </c>
    </row>
    <row r="7" spans="2:39" x14ac:dyDescent="0.25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  <c r="S7" s="11" t="s">
        <v>184</v>
      </c>
    </row>
    <row r="8" spans="2:39" x14ac:dyDescent="0.25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  <c r="S8" s="11" t="s">
        <v>185</v>
      </c>
    </row>
    <row r="9" spans="2:39" x14ac:dyDescent="0.25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S9" s="11" t="s">
        <v>186</v>
      </c>
      <c r="AD9" s="273" t="s">
        <v>43</v>
      </c>
      <c r="AE9" s="273"/>
      <c r="AF9" s="273" t="s">
        <v>8</v>
      </c>
      <c r="AG9" s="273"/>
      <c r="AH9" s="273" t="s">
        <v>9</v>
      </c>
      <c r="AI9" s="273"/>
    </row>
    <row r="10" spans="2:39" x14ac:dyDescent="0.25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S10" s="11" t="s">
        <v>187</v>
      </c>
      <c r="AD10" s="23">
        <v>1</v>
      </c>
      <c r="AE10" s="27">
        <v>0.75</v>
      </c>
      <c r="AF10" s="276" t="s">
        <v>188</v>
      </c>
      <c r="AG10" s="276"/>
      <c r="AH10" s="23">
        <v>3</v>
      </c>
      <c r="AI10" s="27">
        <v>1</v>
      </c>
    </row>
    <row r="11" spans="2:39" x14ac:dyDescent="0.25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25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273" t="s">
        <v>10</v>
      </c>
      <c r="AE12" s="273"/>
      <c r="AF12" s="273" t="s">
        <v>11</v>
      </c>
      <c r="AG12" s="273"/>
      <c r="AH12" s="273" t="s">
        <v>12</v>
      </c>
      <c r="AI12" s="273"/>
    </row>
    <row r="13" spans="2:39" x14ac:dyDescent="0.25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25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25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25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25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25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25">
      <c r="AI19" s="180">
        <f>AI18*7%</f>
        <v>1106000</v>
      </c>
    </row>
    <row r="21" spans="2:3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25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25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25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25">
      <c r="B59" s="28" t="s">
        <v>1</v>
      </c>
      <c r="C59" s="28" t="s">
        <v>32</v>
      </c>
      <c r="D59" s="156" t="s">
        <v>189</v>
      </c>
      <c r="E59" s="20" t="s">
        <v>142</v>
      </c>
    </row>
    <row r="60" spans="2:14" x14ac:dyDescent="0.25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25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25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25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25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25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25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25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25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25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25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25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25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25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F10:AG10"/>
    <mergeCell ref="AH12:AI12"/>
    <mergeCell ref="AF12:AG12"/>
    <mergeCell ref="AD12:AE12"/>
    <mergeCell ref="AI4:AI5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D3:AE3"/>
    <mergeCell ref="AF3:AG3"/>
    <mergeCell ref="AH3:AI3"/>
    <mergeCell ref="AJ3:AK3"/>
    <mergeCell ref="AL3:AM3"/>
  </mergeCells>
  <conditionalFormatting sqref="C4:M18">
    <cfRule type="cellIs" dxfId="78" priority="11" operator="lessThan">
      <formula>1</formula>
    </cfRule>
  </conditionalFormatting>
  <conditionalFormatting sqref="N40:N54">
    <cfRule type="cellIs" dxfId="77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sheetPr codeName="Hoja7"/>
  <dimension ref="B2:AL78"/>
  <sheetViews>
    <sheetView topLeftCell="L1" zoomScaleNormal="100" workbookViewId="0">
      <selection activeCell="C42" sqref="C42"/>
    </sheetView>
  </sheetViews>
  <sheetFormatPr baseColWidth="10" defaultColWidth="8.85546875" defaultRowHeight="15" x14ac:dyDescent="0.25"/>
  <cols>
    <col min="1" max="1" width="5.28515625" customWidth="1"/>
    <col min="2" max="2" width="13.7109375" customWidth="1"/>
    <col min="3" max="3" width="10.28515625" customWidth="1"/>
    <col min="4" max="4" width="10.5703125" customWidth="1"/>
    <col min="5" max="5" width="10.7109375" customWidth="1"/>
    <col min="8" max="8" width="11.5703125" customWidth="1"/>
    <col min="11" max="11" width="10.28515625" customWidth="1"/>
    <col min="12" max="13" width="11.28515625" customWidth="1"/>
    <col min="17" max="17" width="10" customWidth="1"/>
    <col min="19" max="19" width="10.42578125" customWidth="1"/>
    <col min="25" max="25" width="8.5703125" customWidth="1"/>
    <col min="26" max="26" width="8.7109375" customWidth="1"/>
    <col min="34" max="34" width="12.5703125" customWidth="1"/>
    <col min="37" max="38" width="11.5703125" customWidth="1"/>
  </cols>
  <sheetData>
    <row r="2" spans="2:38" x14ac:dyDescent="0.25">
      <c r="C2" s="181" t="s">
        <v>143</v>
      </c>
      <c r="D2" s="182" t="s">
        <v>2</v>
      </c>
      <c r="E2" s="181" t="s">
        <v>190</v>
      </c>
      <c r="F2" s="181" t="s">
        <v>145</v>
      </c>
      <c r="G2" s="182" t="s">
        <v>3</v>
      </c>
      <c r="H2" s="181" t="s">
        <v>190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63" t="s">
        <v>34</v>
      </c>
      <c r="K3" s="263" t="s">
        <v>35</v>
      </c>
      <c r="L3" s="263" t="s">
        <v>191</v>
      </c>
      <c r="M3" s="263" t="s">
        <v>10</v>
      </c>
      <c r="N3" s="265" t="s">
        <v>89</v>
      </c>
      <c r="O3" s="265" t="s">
        <v>90</v>
      </c>
      <c r="P3" s="263" t="s">
        <v>11</v>
      </c>
      <c r="Q3" s="265" t="s">
        <v>97</v>
      </c>
      <c r="R3" s="265" t="s">
        <v>93</v>
      </c>
      <c r="S3" s="265" t="s">
        <v>97</v>
      </c>
      <c r="T3" s="265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.75" thickBot="1" x14ac:dyDescent="0.3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64"/>
      <c r="K4" s="264"/>
      <c r="L4" s="264"/>
      <c r="M4" s="264"/>
      <c r="N4" s="266"/>
      <c r="O4" s="266"/>
      <c r="P4" s="264"/>
      <c r="Q4" s="266"/>
      <c r="R4" s="266"/>
      <c r="S4" s="266"/>
      <c r="T4" s="266"/>
      <c r="W4" s="192" t="s">
        <v>34</v>
      </c>
      <c r="X4" s="161" t="s">
        <v>103</v>
      </c>
      <c r="Y4" s="161" t="s">
        <v>192</v>
      </c>
      <c r="Z4" s="161" t="s">
        <v>190</v>
      </c>
      <c r="AB4" s="161" t="s">
        <v>193</v>
      </c>
      <c r="AC4" s="161" t="s">
        <v>194</v>
      </c>
      <c r="AG4" s="196" t="s">
        <v>1</v>
      </c>
      <c r="AH4" s="195" t="s">
        <v>195</v>
      </c>
      <c r="AK4" s="23" t="s">
        <v>193</v>
      </c>
      <c r="AL4" s="23" t="s">
        <v>57</v>
      </c>
    </row>
    <row r="5" spans="2:38" ht="15.75" thickBot="1" x14ac:dyDescent="0.3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.75" thickBot="1" x14ac:dyDescent="0.3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</v>
      </c>
      <c r="AK6" s="155" t="s">
        <v>15</v>
      </c>
      <c r="AL6" s="27">
        <v>1.0218516388729155</v>
      </c>
    </row>
    <row r="7" spans="2:38" ht="15.75" thickBot="1" x14ac:dyDescent="0.3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.75" thickBot="1" x14ac:dyDescent="0.3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.75" thickBot="1" x14ac:dyDescent="0.3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.75" thickBot="1" x14ac:dyDescent="0.3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.75" thickBot="1" x14ac:dyDescent="0.3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.75" thickBot="1" x14ac:dyDescent="0.3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.75" thickBot="1" x14ac:dyDescent="0.3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.75" thickBot="1" x14ac:dyDescent="0.3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.75" thickBot="1" x14ac:dyDescent="0.3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.75" thickBot="1" x14ac:dyDescent="0.3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.75" thickBot="1" x14ac:dyDescent="0.3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.75" thickBot="1" x14ac:dyDescent="0.3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25">
      <c r="B19" s="183" t="s">
        <v>196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25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25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25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25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25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25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25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25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25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ht="15" customHeight="1" x14ac:dyDescent="0.25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25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25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25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25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25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25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25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25">
      <c r="B40" t="s">
        <v>12</v>
      </c>
      <c r="C40" t="s">
        <v>233</v>
      </c>
      <c r="J40" t="s">
        <v>197</v>
      </c>
    </row>
    <row r="41" spans="2:20" x14ac:dyDescent="0.25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25">
      <c r="B42" s="185" t="s">
        <v>155</v>
      </c>
      <c r="C42" s="187" t="s">
        <v>198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25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25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25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25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25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25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25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25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25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25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25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25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25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25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25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25">
      <c r="B58" s="186" t="s">
        <v>72</v>
      </c>
      <c r="C58" s="186">
        <v>56</v>
      </c>
      <c r="D58" s="130">
        <v>1.1174076143347434E-3</v>
      </c>
    </row>
    <row r="59" spans="2:13" x14ac:dyDescent="0.25">
      <c r="B59" s="186" t="s">
        <v>73</v>
      </c>
      <c r="C59" s="186">
        <v>53</v>
      </c>
      <c r="D59" s="130">
        <v>1.0575464921382394E-3</v>
      </c>
    </row>
    <row r="60" spans="2:13" x14ac:dyDescent="0.25">
      <c r="B60" s="186" t="s">
        <v>23</v>
      </c>
      <c r="C60" s="186">
        <v>2419</v>
      </c>
      <c r="D60" s="130">
        <v>4.8268018197781148E-2</v>
      </c>
    </row>
    <row r="61" spans="2:13" x14ac:dyDescent="0.25">
      <c r="B61" s="186" t="s">
        <v>84</v>
      </c>
      <c r="C61" s="186">
        <v>100</v>
      </c>
      <c r="D61" s="130">
        <v>1.9953707398834702E-3</v>
      </c>
    </row>
    <row r="62" spans="2:13" x14ac:dyDescent="0.25">
      <c r="B62" s="186" t="s">
        <v>20</v>
      </c>
      <c r="C62" s="186">
        <v>2449</v>
      </c>
      <c r="D62" s="130">
        <v>4.8866629419746191E-2</v>
      </c>
    </row>
    <row r="63" spans="2:13" x14ac:dyDescent="0.25">
      <c r="B63" s="186" t="s">
        <v>74</v>
      </c>
      <c r="C63" s="186">
        <v>293</v>
      </c>
      <c r="D63" s="130">
        <v>5.8464362678585678E-3</v>
      </c>
    </row>
    <row r="64" spans="2:13" x14ac:dyDescent="0.25">
      <c r="B64" s="186" t="s">
        <v>21</v>
      </c>
      <c r="C64" s="186">
        <v>1216</v>
      </c>
      <c r="D64" s="130">
        <v>2.4263708196982998E-2</v>
      </c>
    </row>
    <row r="65" spans="2:4" x14ac:dyDescent="0.25">
      <c r="B65" s="186" t="s">
        <v>14</v>
      </c>
      <c r="C65" s="186">
        <v>6475</v>
      </c>
      <c r="D65" s="130">
        <v>0.12920025540745469</v>
      </c>
    </row>
    <row r="66" spans="2:4" x14ac:dyDescent="0.25">
      <c r="B66" s="186" t="s">
        <v>17</v>
      </c>
      <c r="C66" s="186">
        <v>2311</v>
      </c>
      <c r="D66" s="130">
        <v>4.6113017798707003E-2</v>
      </c>
    </row>
    <row r="67" spans="2:4" x14ac:dyDescent="0.25">
      <c r="B67" s="186" t="s">
        <v>25</v>
      </c>
      <c r="C67" s="186">
        <v>2398</v>
      </c>
      <c r="D67" s="130">
        <v>4.7848990342405619E-2</v>
      </c>
    </row>
    <row r="68" spans="2:4" x14ac:dyDescent="0.25">
      <c r="B68" s="186" t="s">
        <v>75</v>
      </c>
      <c r="C68" s="186">
        <v>56</v>
      </c>
      <c r="D68" s="130">
        <v>1.1174076143347434E-3</v>
      </c>
    </row>
    <row r="69" spans="2:4" x14ac:dyDescent="0.25">
      <c r="B69" s="186" t="s">
        <v>77</v>
      </c>
      <c r="C69" s="186">
        <v>37</v>
      </c>
      <c r="D69" s="130">
        <v>7.38287173756884E-4</v>
      </c>
    </row>
    <row r="70" spans="2:4" x14ac:dyDescent="0.25">
      <c r="B70" s="186" t="s">
        <v>79</v>
      </c>
      <c r="C70" s="186">
        <v>99</v>
      </c>
      <c r="D70" s="130">
        <v>1.9754170324846358E-3</v>
      </c>
    </row>
    <row r="71" spans="2:4" x14ac:dyDescent="0.25">
      <c r="B71" s="186" t="s">
        <v>172</v>
      </c>
      <c r="C71" s="186">
        <v>520</v>
      </c>
      <c r="D71" s="130">
        <v>1.0375927847394046E-2</v>
      </c>
    </row>
    <row r="72" spans="2:4" x14ac:dyDescent="0.25">
      <c r="B72" s="186" t="s">
        <v>80</v>
      </c>
      <c r="C72" s="186">
        <v>33</v>
      </c>
      <c r="D72" s="130">
        <v>6.5847234416154519E-4</v>
      </c>
    </row>
    <row r="73" spans="2:4" x14ac:dyDescent="0.25">
      <c r="B73" s="186" t="s">
        <v>76</v>
      </c>
      <c r="C73" s="186">
        <v>999</v>
      </c>
      <c r="D73" s="130">
        <v>1.9933753691435869E-2</v>
      </c>
    </row>
    <row r="74" spans="2:4" x14ac:dyDescent="0.25">
      <c r="B74" s="186" t="s">
        <v>18</v>
      </c>
      <c r="C74" s="186">
        <v>1858</v>
      </c>
      <c r="D74" s="130">
        <v>3.7073988347034882E-2</v>
      </c>
    </row>
    <row r="75" spans="2:4" x14ac:dyDescent="0.25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25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25">
      <c r="B78" s="186" t="s">
        <v>173</v>
      </c>
      <c r="C78" s="186">
        <f>SUM(C43:C74)</f>
        <v>50116</v>
      </c>
    </row>
  </sheetData>
  <mergeCells count="11">
    <mergeCell ref="P3:P4"/>
    <mergeCell ref="Q3:Q4"/>
    <mergeCell ref="R3:R4"/>
    <mergeCell ref="S3:S4"/>
    <mergeCell ref="T3:T4"/>
    <mergeCell ref="J3:J4"/>
    <mergeCell ref="K3:K4"/>
    <mergeCell ref="L3:L4"/>
    <mergeCell ref="N3:N4"/>
    <mergeCell ref="O3:O4"/>
    <mergeCell ref="M3:M4"/>
  </mergeCells>
  <conditionalFormatting sqref="D3">
    <cfRule type="cellIs" dxfId="76" priority="24" operator="lessThan">
      <formula>0.78</formula>
    </cfRule>
  </conditionalFormatting>
  <conditionalFormatting sqref="D4">
    <cfRule type="cellIs" dxfId="75" priority="23" operator="lessThan">
      <formula>0.92</formula>
    </cfRule>
  </conditionalFormatting>
  <conditionalFormatting sqref="D5">
    <cfRule type="cellIs" dxfId="74" priority="22" operator="lessThan">
      <formula>0.85</formula>
    </cfRule>
  </conditionalFormatting>
  <conditionalFormatting sqref="D6">
    <cfRule type="cellIs" dxfId="73" priority="21" operator="lessThan">
      <formula>0.86</formula>
    </cfRule>
  </conditionalFormatting>
  <conditionalFormatting sqref="D7">
    <cfRule type="cellIs" dxfId="72" priority="12" operator="lessThan">
      <formula>0.82</formula>
    </cfRule>
  </conditionalFormatting>
  <conditionalFormatting sqref="D8">
    <cfRule type="cellIs" dxfId="71" priority="20" operator="lessThan">
      <formula>0.94</formula>
    </cfRule>
  </conditionalFormatting>
  <conditionalFormatting sqref="D9">
    <cfRule type="cellIs" dxfId="70" priority="18" operator="lessThan">
      <formula>0.85</formula>
    </cfRule>
  </conditionalFormatting>
  <conditionalFormatting sqref="D10">
    <cfRule type="cellIs" dxfId="69" priority="17" operator="lessThan">
      <formula>0.7</formula>
    </cfRule>
  </conditionalFormatting>
  <conditionalFormatting sqref="D11">
    <cfRule type="cellIs" dxfId="68" priority="16" operator="lessThan">
      <formula>0.75</formula>
    </cfRule>
  </conditionalFormatting>
  <conditionalFormatting sqref="D12:D13">
    <cfRule type="cellIs" dxfId="67" priority="15" operator="lessThan">
      <formula>0.7</formula>
    </cfRule>
  </conditionalFormatting>
  <conditionalFormatting sqref="D14">
    <cfRule type="cellIs" dxfId="66" priority="14" operator="lessThan">
      <formula>0.84</formula>
    </cfRule>
  </conditionalFormatting>
  <conditionalFormatting sqref="D15:D16">
    <cfRule type="cellIs" dxfId="65" priority="13" operator="lessThan">
      <formula>0.7</formula>
    </cfRule>
  </conditionalFormatting>
  <conditionalFormatting sqref="G3:G4">
    <cfRule type="cellIs" dxfId="64" priority="9" operator="lessThan">
      <formula>0.92</formula>
    </cfRule>
  </conditionalFormatting>
  <conditionalFormatting sqref="G5">
    <cfRule type="cellIs" dxfId="63" priority="8" operator="lessThan">
      <formula>0.94</formula>
    </cfRule>
  </conditionalFormatting>
  <conditionalFormatting sqref="G6">
    <cfRule type="cellIs" dxfId="62" priority="7" operator="lessThan">
      <formula>0.9</formula>
    </cfRule>
  </conditionalFormatting>
  <conditionalFormatting sqref="G7">
    <cfRule type="cellIs" dxfId="61" priority="1" operator="lessThan">
      <formula>0.91</formula>
    </cfRule>
  </conditionalFormatting>
  <conditionalFormatting sqref="G8">
    <cfRule type="cellIs" dxfId="60" priority="6" operator="lessThan">
      <formula>0.95</formula>
    </cfRule>
  </conditionalFormatting>
  <conditionalFormatting sqref="G9">
    <cfRule type="cellIs" dxfId="59" priority="4" operator="lessThan">
      <formula>0.87</formula>
    </cfRule>
  </conditionalFormatting>
  <conditionalFormatting sqref="G10:G13">
    <cfRule type="cellIs" dxfId="58" priority="3" operator="lessThan">
      <formula>0.83</formula>
    </cfRule>
  </conditionalFormatting>
  <conditionalFormatting sqref="G14">
    <cfRule type="cellIs" dxfId="57" priority="11" operator="lessThan">
      <formula>0.9</formula>
    </cfRule>
  </conditionalFormatting>
  <conditionalFormatting sqref="G15:G16">
    <cfRule type="cellIs" dxfId="56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sheetPr codeName="Hoja8"/>
  <dimension ref="C3:AI60"/>
  <sheetViews>
    <sheetView showGridLines="0" tabSelected="1" topLeftCell="C1" zoomScale="115" zoomScaleNormal="115" workbookViewId="0">
      <selection activeCell="F5" sqref="F5:F19"/>
    </sheetView>
  </sheetViews>
  <sheetFormatPr baseColWidth="10" defaultColWidth="8.7109375" defaultRowHeight="15" x14ac:dyDescent="0.25"/>
  <cols>
    <col min="1" max="3" width="8.7109375" style="11"/>
    <col min="4" max="4" width="9" style="11" customWidth="1"/>
    <col min="5" max="7" width="8.7109375" style="11"/>
    <col min="8" max="8" width="9.5703125" style="11" customWidth="1"/>
    <col min="9" max="9" width="13.5703125" style="11" customWidth="1"/>
    <col min="10" max="10" width="11.42578125" style="11" customWidth="1"/>
    <col min="11" max="11" width="13.28515625" style="11" customWidth="1"/>
    <col min="12" max="12" width="11.7109375" style="11" customWidth="1"/>
    <col min="13" max="14" width="11.28515625" style="11" customWidth="1"/>
    <col min="15" max="15" width="12.28515625" style="11" customWidth="1"/>
    <col min="16" max="16" width="15.5703125" style="11" customWidth="1"/>
    <col min="17" max="17" width="14.85546875" style="11" customWidth="1"/>
    <col min="18" max="18" width="16.140625" style="11" bestFit="1" customWidth="1"/>
    <col min="19" max="19" width="13.28515625" style="11" bestFit="1" customWidth="1"/>
    <col min="20" max="20" width="13.140625" style="11" bestFit="1" customWidth="1"/>
    <col min="21" max="21" width="16.7109375" style="11" bestFit="1" customWidth="1"/>
    <col min="22" max="22" width="12.7109375" style="11" bestFit="1" customWidth="1"/>
    <col min="23" max="23" width="16" style="11" bestFit="1" customWidth="1"/>
    <col min="24" max="24" width="13.28515625" style="11" bestFit="1" customWidth="1"/>
    <col min="25" max="25" width="12.85546875" style="11" bestFit="1" customWidth="1"/>
    <col min="26" max="27" width="8.7109375" style="11"/>
    <col min="28" max="29" width="9.28515625" style="11" bestFit="1" customWidth="1"/>
    <col min="30" max="16384" width="8.7109375" style="11"/>
  </cols>
  <sheetData>
    <row r="3" spans="4:35" ht="15.75" thickBot="1" x14ac:dyDescent="0.3">
      <c r="D3" s="255">
        <v>1</v>
      </c>
      <c r="E3" s="255">
        <v>2</v>
      </c>
      <c r="F3" s="255">
        <v>3</v>
      </c>
      <c r="G3" s="255">
        <v>4</v>
      </c>
      <c r="H3" s="255">
        <v>5</v>
      </c>
      <c r="I3" s="255">
        <v>6</v>
      </c>
      <c r="J3" s="255">
        <v>7</v>
      </c>
      <c r="K3" s="255">
        <v>8</v>
      </c>
      <c r="L3" s="255">
        <v>9</v>
      </c>
      <c r="M3" s="255">
        <v>10</v>
      </c>
      <c r="N3" s="255">
        <v>11</v>
      </c>
      <c r="O3" s="255">
        <v>12</v>
      </c>
      <c r="P3" s="255">
        <v>13</v>
      </c>
      <c r="Q3" s="255">
        <v>14</v>
      </c>
      <c r="R3" s="255">
        <v>15</v>
      </c>
      <c r="S3" s="255">
        <v>16</v>
      </c>
      <c r="T3" s="255">
        <v>17</v>
      </c>
      <c r="U3" s="255">
        <v>18</v>
      </c>
      <c r="V3" s="255">
        <v>19</v>
      </c>
      <c r="W3" s="255">
        <v>20</v>
      </c>
      <c r="X3" s="11">
        <v>21</v>
      </c>
      <c r="Y3" s="255">
        <v>22</v>
      </c>
      <c r="Z3" s="11">
        <v>23</v>
      </c>
    </row>
    <row r="4" spans="4:35" ht="45.75" thickBot="1" x14ac:dyDescent="0.3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199</v>
      </c>
      <c r="Q4" s="11" t="s">
        <v>143</v>
      </c>
      <c r="R4" s="11" t="s">
        <v>145</v>
      </c>
      <c r="S4" s="11" t="s">
        <v>35</v>
      </c>
      <c r="T4" s="11" t="s">
        <v>89</v>
      </c>
      <c r="U4" s="11" t="s">
        <v>230</v>
      </c>
      <c r="V4" s="256" t="s">
        <v>229</v>
      </c>
      <c r="W4" s="256" t="s">
        <v>191</v>
      </c>
      <c r="X4" s="256" t="s">
        <v>231</v>
      </c>
      <c r="Y4" s="256" t="s">
        <v>232</v>
      </c>
      <c r="Z4" s="256" t="s">
        <v>236</v>
      </c>
      <c r="AC4" s="192" t="s">
        <v>34</v>
      </c>
      <c r="AD4" s="161" t="s">
        <v>192</v>
      </c>
      <c r="AF4" s="257" t="s">
        <v>1</v>
      </c>
      <c r="AH4" s="260" t="s">
        <v>234</v>
      </c>
      <c r="AI4" s="260" t="s">
        <v>235</v>
      </c>
    </row>
    <row r="5" spans="4:35" ht="15.75" thickBot="1" x14ac:dyDescent="0.3">
      <c r="D5" s="11" t="s">
        <v>26</v>
      </c>
      <c r="E5" s="21">
        <v>0.89900000000000002</v>
      </c>
      <c r="F5" s="21">
        <v>0.94</v>
      </c>
      <c r="G5" s="24">
        <v>0.65</v>
      </c>
      <c r="H5" s="21">
        <v>1.0789458834151571</v>
      </c>
      <c r="I5" s="21">
        <v>0.93592129752725317</v>
      </c>
      <c r="J5" s="21">
        <v>0.86</v>
      </c>
      <c r="K5" s="23" t="s">
        <v>24</v>
      </c>
      <c r="L5" s="21">
        <v>1</v>
      </c>
      <c r="M5" s="21">
        <v>0.70276349533996374</v>
      </c>
      <c r="N5" s="21">
        <v>0.94186046511627919</v>
      </c>
      <c r="O5" s="21">
        <v>0.97691373025516404</v>
      </c>
      <c r="P5" s="24">
        <v>0.90074971655725999</v>
      </c>
      <c r="Q5" s="295">
        <v>0.85</v>
      </c>
      <c r="R5" s="21">
        <v>0.87</v>
      </c>
      <c r="S5">
        <v>1598700</v>
      </c>
      <c r="T5" s="5">
        <v>0.86</v>
      </c>
      <c r="U5" s="5">
        <v>0.81</v>
      </c>
      <c r="V5">
        <v>1598700</v>
      </c>
      <c r="W5" s="296">
        <v>1123508</v>
      </c>
      <c r="X5" s="27"/>
      <c r="Y5" s="27"/>
      <c r="Z5" s="27"/>
      <c r="AC5" s="35" t="s">
        <v>26</v>
      </c>
      <c r="AD5" s="27">
        <v>0.53086419753086422</v>
      </c>
      <c r="AF5" s="258" t="s">
        <v>26</v>
      </c>
      <c r="AH5" s="261" t="s">
        <v>26</v>
      </c>
      <c r="AI5" s="262">
        <v>0.5</v>
      </c>
    </row>
    <row r="6" spans="4:35" ht="15.75" thickBot="1" x14ac:dyDescent="0.3">
      <c r="D6" s="11" t="s">
        <v>13</v>
      </c>
      <c r="E6" s="21">
        <v>0.78700000000000003</v>
      </c>
      <c r="F6" s="21">
        <v>0.95799999999999996</v>
      </c>
      <c r="G6" s="21">
        <v>0.69</v>
      </c>
      <c r="H6" s="21">
        <v>0.9479117415287629</v>
      </c>
      <c r="I6" s="21">
        <v>1.0410119820885564</v>
      </c>
      <c r="J6" s="21">
        <v>1</v>
      </c>
      <c r="K6" s="21">
        <v>1</v>
      </c>
      <c r="L6" s="21">
        <v>1</v>
      </c>
      <c r="M6" s="21">
        <v>1.0262016558173102</v>
      </c>
      <c r="N6" s="21">
        <v>1.0495049504950495</v>
      </c>
      <c r="O6" s="21">
        <v>1.1143529893529893</v>
      </c>
      <c r="P6" s="24">
        <v>0.98241646966115059</v>
      </c>
      <c r="Q6" s="295">
        <v>0.78</v>
      </c>
      <c r="R6" s="21">
        <v>0.92</v>
      </c>
      <c r="S6">
        <v>15392157</v>
      </c>
      <c r="T6" s="5">
        <v>1.01</v>
      </c>
      <c r="U6" s="5">
        <v>1.06</v>
      </c>
      <c r="V6">
        <v>15392157</v>
      </c>
      <c r="W6" s="296">
        <v>15795457</v>
      </c>
      <c r="X6" s="27"/>
      <c r="Y6" s="27"/>
      <c r="Z6" s="27"/>
      <c r="AC6" s="35" t="s">
        <v>13</v>
      </c>
      <c r="AD6" s="27">
        <v>0.61320412968665094</v>
      </c>
      <c r="AF6" s="259" t="s">
        <v>13</v>
      </c>
      <c r="AH6" s="261" t="s">
        <v>13</v>
      </c>
      <c r="AI6" s="262">
        <v>0.3</v>
      </c>
    </row>
    <row r="7" spans="4:35" ht="15.75" thickBot="1" x14ac:dyDescent="0.3">
      <c r="D7" s="11" t="s">
        <v>15</v>
      </c>
      <c r="E7" s="21">
        <v>0.94899999999999995</v>
      </c>
      <c r="F7" s="21">
        <v>0.93799999999999994</v>
      </c>
      <c r="G7" s="21">
        <v>0.75</v>
      </c>
      <c r="H7" s="21">
        <v>1.1111111111111112</v>
      </c>
      <c r="I7" s="21">
        <v>1.4352075337316501</v>
      </c>
      <c r="J7" s="21">
        <v>1</v>
      </c>
      <c r="K7" s="21">
        <v>1</v>
      </c>
      <c r="L7" s="21">
        <v>1</v>
      </c>
      <c r="M7" s="21">
        <v>1.1227060078774109</v>
      </c>
      <c r="N7" s="21">
        <v>1.0227272727272727</v>
      </c>
      <c r="O7" s="21">
        <v>0.95074906367041201</v>
      </c>
      <c r="P7" s="24">
        <v>0.97272471910112357</v>
      </c>
      <c r="Q7" s="295">
        <v>0.92</v>
      </c>
      <c r="R7" s="21">
        <v>0.92</v>
      </c>
      <c r="S7">
        <v>4624362</v>
      </c>
      <c r="T7" s="5">
        <v>1.32</v>
      </c>
      <c r="U7" s="5">
        <v>1.35</v>
      </c>
      <c r="V7">
        <v>4624362</v>
      </c>
      <c r="W7" s="296">
        <v>5191799</v>
      </c>
      <c r="X7" s="27"/>
      <c r="Y7" s="27"/>
      <c r="Z7" s="27"/>
      <c r="AC7" s="35" t="s">
        <v>15</v>
      </c>
      <c r="AD7" s="27">
        <v>0.54276114844227241</v>
      </c>
      <c r="AF7" s="258" t="s">
        <v>15</v>
      </c>
      <c r="AH7" s="261" t="s">
        <v>15</v>
      </c>
      <c r="AI7" s="262">
        <v>0.7</v>
      </c>
    </row>
    <row r="8" spans="4:35" ht="15.75" thickBot="1" x14ac:dyDescent="0.3">
      <c r="D8" s="11" t="s">
        <v>22</v>
      </c>
      <c r="E8" s="21">
        <v>0.76300000000000001</v>
      </c>
      <c r="F8" s="21">
        <v>0.96</v>
      </c>
      <c r="G8" s="21">
        <v>0.85</v>
      </c>
      <c r="H8" s="21">
        <v>1.1111111111111112</v>
      </c>
      <c r="I8" s="21">
        <v>1.0955537922031378</v>
      </c>
      <c r="J8" s="21">
        <v>1</v>
      </c>
      <c r="K8" s="21">
        <v>1</v>
      </c>
      <c r="L8" s="21">
        <v>1</v>
      </c>
      <c r="M8" s="21">
        <v>0.87453559999999997</v>
      </c>
      <c r="N8" s="21">
        <v>0.94557823129251695</v>
      </c>
      <c r="O8" s="21">
        <v>0.72788353863381861</v>
      </c>
      <c r="P8" s="24">
        <v>0.88033000471939737</v>
      </c>
      <c r="Q8" s="295">
        <v>0.7</v>
      </c>
      <c r="R8" s="21">
        <v>0.88</v>
      </c>
      <c r="S8">
        <v>2500000</v>
      </c>
      <c r="T8" s="5">
        <v>1.47</v>
      </c>
      <c r="U8" s="5">
        <v>1.39</v>
      </c>
      <c r="V8">
        <v>2500000</v>
      </c>
      <c r="W8" s="296">
        <v>2186339</v>
      </c>
      <c r="X8" s="27"/>
      <c r="Y8" s="27"/>
      <c r="Z8" s="27"/>
      <c r="AC8" s="35" t="s">
        <v>22</v>
      </c>
      <c r="AD8" s="27">
        <v>0.71242774566473988</v>
      </c>
      <c r="AF8" s="259" t="s">
        <v>22</v>
      </c>
      <c r="AH8" s="261" t="s">
        <v>22</v>
      </c>
      <c r="AI8" s="262">
        <v>0.7</v>
      </c>
    </row>
    <row r="9" spans="4:35" ht="15.75" thickBot="1" x14ac:dyDescent="0.3">
      <c r="D9" s="11" t="s">
        <v>16</v>
      </c>
      <c r="E9" s="21">
        <v>0.875</v>
      </c>
      <c r="F9" s="21">
        <v>0.95299999999999996</v>
      </c>
      <c r="G9" s="21">
        <v>1</v>
      </c>
      <c r="H9" s="21">
        <v>0.99061213991769548</v>
      </c>
      <c r="I9" s="21">
        <v>1.5066172578083645</v>
      </c>
      <c r="J9" s="21">
        <v>1</v>
      </c>
      <c r="K9" s="21">
        <v>1</v>
      </c>
      <c r="L9" s="21">
        <v>1</v>
      </c>
      <c r="M9" s="21">
        <v>0.93674834236877702</v>
      </c>
      <c r="N9" s="21">
        <v>1.0097087378640777</v>
      </c>
      <c r="O9" s="21">
        <v>1.0269627279936557</v>
      </c>
      <c r="P9" s="24">
        <v>0.98697415407046329</v>
      </c>
      <c r="Q9" s="295">
        <v>0.85</v>
      </c>
      <c r="R9" s="21">
        <v>0.94</v>
      </c>
      <c r="S9">
        <v>3284657</v>
      </c>
      <c r="T9" s="5">
        <v>1.03</v>
      </c>
      <c r="U9" s="5">
        <v>1.04</v>
      </c>
      <c r="V9">
        <v>3284657</v>
      </c>
      <c r="W9" s="296">
        <v>3076897</v>
      </c>
      <c r="X9" s="27"/>
      <c r="Y9" s="27"/>
      <c r="Z9" s="27"/>
      <c r="AC9" s="35" t="s">
        <v>16</v>
      </c>
      <c r="AD9" s="27">
        <v>0.65721271393643033</v>
      </c>
      <c r="AF9" s="258" t="s">
        <v>16</v>
      </c>
      <c r="AH9" s="261" t="s">
        <v>16</v>
      </c>
      <c r="AI9" s="262">
        <v>0.95</v>
      </c>
    </row>
    <row r="10" spans="4:35" ht="15.75" thickBot="1" x14ac:dyDescent="0.3">
      <c r="D10" s="11" t="s">
        <v>19</v>
      </c>
      <c r="E10" s="21">
        <v>0.77</v>
      </c>
      <c r="F10" s="21">
        <v>0.93400000000000005</v>
      </c>
      <c r="G10" s="21">
        <v>0.4</v>
      </c>
      <c r="H10" s="21">
        <v>1.060882044488602</v>
      </c>
      <c r="I10" s="21">
        <v>0.98093118645547017</v>
      </c>
      <c r="J10" s="21">
        <v>0.86</v>
      </c>
      <c r="K10" s="21">
        <v>1</v>
      </c>
      <c r="L10" s="21">
        <v>1</v>
      </c>
      <c r="M10" s="21">
        <v>1.0093165310267598</v>
      </c>
      <c r="N10" s="21">
        <v>0.94117647058823528</v>
      </c>
      <c r="O10" s="21">
        <v>0.86411536328341654</v>
      </c>
      <c r="P10" s="24">
        <v>0.91558950350206725</v>
      </c>
      <c r="Q10" s="295">
        <v>0.7</v>
      </c>
      <c r="R10" s="21">
        <v>0.83</v>
      </c>
      <c r="S10">
        <v>1869902</v>
      </c>
      <c r="T10" s="5">
        <v>1.02</v>
      </c>
      <c r="U10" s="5">
        <v>0.96</v>
      </c>
      <c r="V10">
        <v>1869902</v>
      </c>
      <c r="W10" s="296">
        <v>1887323</v>
      </c>
      <c r="X10" s="27"/>
      <c r="Y10" s="27"/>
      <c r="Z10" s="27"/>
      <c r="AC10" s="35" t="s">
        <v>19</v>
      </c>
      <c r="AD10" s="27">
        <v>0.53623188405797106</v>
      </c>
      <c r="AF10" s="259" t="s">
        <v>19</v>
      </c>
      <c r="AH10" s="261" t="s">
        <v>19</v>
      </c>
      <c r="AI10" s="262">
        <v>0.2</v>
      </c>
    </row>
    <row r="11" spans="4:35" ht="15.75" thickBot="1" x14ac:dyDescent="0.3">
      <c r="D11" s="11" t="s">
        <v>78</v>
      </c>
      <c r="E11" s="21">
        <v>0</v>
      </c>
      <c r="F11" s="21">
        <v>0</v>
      </c>
      <c r="G11" s="24">
        <v>1</v>
      </c>
      <c r="H11" s="21">
        <v>0.60128184667716489</v>
      </c>
      <c r="I11" s="21">
        <v>0.70902449248457966</v>
      </c>
      <c r="J11" s="21">
        <v>0.86</v>
      </c>
      <c r="K11" s="23" t="s">
        <v>24</v>
      </c>
      <c r="L11" s="21">
        <v>1</v>
      </c>
      <c r="M11" s="21">
        <v>0.79874285714285709</v>
      </c>
      <c r="N11" s="21">
        <v>0.83491278670512292</v>
      </c>
      <c r="O11" s="21">
        <v>0.77272727272727271</v>
      </c>
      <c r="P11" s="24">
        <v>0.81214685536885933</v>
      </c>
      <c r="Q11" s="297" t="s">
        <v>24</v>
      </c>
      <c r="R11" s="21">
        <v>0</v>
      </c>
      <c r="S11">
        <v>70000</v>
      </c>
      <c r="T11" s="191">
        <v>1.97</v>
      </c>
      <c r="U11" s="191">
        <v>1.6487659343639816</v>
      </c>
      <c r="V11">
        <v>70000</v>
      </c>
      <c r="W11" s="296">
        <v>55912</v>
      </c>
      <c r="X11" s="27"/>
      <c r="Y11" s="27"/>
      <c r="Z11" s="27"/>
      <c r="AC11" s="35" t="s">
        <v>78</v>
      </c>
      <c r="AD11" s="27">
        <v>0.32989690721649484</v>
      </c>
      <c r="AF11" s="258" t="s">
        <v>78</v>
      </c>
      <c r="AH11" s="261" t="s">
        <v>23</v>
      </c>
      <c r="AI11" s="262">
        <v>0.3</v>
      </c>
    </row>
    <row r="12" spans="4:35" ht="15.75" thickBot="1" x14ac:dyDescent="0.3">
      <c r="D12" s="11" t="s">
        <v>23</v>
      </c>
      <c r="E12" s="21">
        <v>0.74099999999999999</v>
      </c>
      <c r="F12" s="21">
        <v>0.88</v>
      </c>
      <c r="G12" s="24">
        <v>0.6</v>
      </c>
      <c r="H12" s="21">
        <v>1.0808080808080807</v>
      </c>
      <c r="I12" s="21">
        <v>1.0132714336176007</v>
      </c>
      <c r="J12" s="21">
        <v>1</v>
      </c>
      <c r="K12" s="23" t="s">
        <v>24</v>
      </c>
      <c r="L12" s="21">
        <v>1</v>
      </c>
      <c r="M12" s="21">
        <v>1.2336758687154463</v>
      </c>
      <c r="N12" s="21">
        <v>0.98561151079136711</v>
      </c>
      <c r="O12" s="21">
        <v>0.89495548961424332</v>
      </c>
      <c r="P12" s="24">
        <v>0.94632779796340971</v>
      </c>
      <c r="Q12" s="295">
        <v>0.75</v>
      </c>
      <c r="R12" s="21">
        <v>0.83</v>
      </c>
      <c r="S12">
        <v>1741134</v>
      </c>
      <c r="T12" s="5">
        <v>1.39</v>
      </c>
      <c r="U12" s="5">
        <v>1.37</v>
      </c>
      <c r="V12">
        <v>1741134</v>
      </c>
      <c r="W12" s="296">
        <v>2147995</v>
      </c>
      <c r="X12" s="27"/>
      <c r="Y12" s="27"/>
      <c r="Z12" s="27"/>
      <c r="AC12" s="35" t="s">
        <v>23</v>
      </c>
      <c r="AD12" s="27">
        <v>0.46352941176470586</v>
      </c>
      <c r="AF12" s="259" t="s">
        <v>23</v>
      </c>
      <c r="AH12" s="261" t="s">
        <v>20</v>
      </c>
      <c r="AI12" s="262">
        <v>0.2</v>
      </c>
    </row>
    <row r="13" spans="4:35" ht="15.75" thickBot="1" x14ac:dyDescent="0.3">
      <c r="D13" s="11" t="s">
        <v>20</v>
      </c>
      <c r="E13" s="21">
        <v>0.67400000000000004</v>
      </c>
      <c r="F13" s="21">
        <v>0.99199999999999999</v>
      </c>
      <c r="G13" s="21">
        <v>0.4</v>
      </c>
      <c r="H13" s="21">
        <v>1.0398739525744016</v>
      </c>
      <c r="I13" s="21">
        <v>0.94506792675723528</v>
      </c>
      <c r="J13" s="21">
        <v>0.86</v>
      </c>
      <c r="K13" s="21">
        <v>1</v>
      </c>
      <c r="L13" s="21">
        <v>1</v>
      </c>
      <c r="M13" s="21">
        <v>1.0948173276454745</v>
      </c>
      <c r="N13" s="21">
        <v>1.017094017094017</v>
      </c>
      <c r="O13" s="21">
        <v>0.97803881511746682</v>
      </c>
      <c r="P13" s="24">
        <v>0.95198579017695806</v>
      </c>
      <c r="Q13" s="295">
        <v>0.7</v>
      </c>
      <c r="R13" s="21">
        <v>0.83</v>
      </c>
      <c r="S13">
        <v>1902532</v>
      </c>
      <c r="T13" s="5">
        <v>1.17</v>
      </c>
      <c r="U13" s="5">
        <v>1.19</v>
      </c>
      <c r="V13">
        <v>1902532</v>
      </c>
      <c r="W13" s="296">
        <v>2082925</v>
      </c>
      <c r="X13" s="27"/>
      <c r="Y13" s="27"/>
      <c r="Z13" s="27"/>
      <c r="AC13" s="35" t="s">
        <v>20</v>
      </c>
      <c r="AD13" s="27">
        <v>0.4606986899563319</v>
      </c>
      <c r="AF13" s="258" t="s">
        <v>20</v>
      </c>
      <c r="AH13" s="261" t="s">
        <v>74</v>
      </c>
      <c r="AI13" s="262">
        <v>0.95</v>
      </c>
    </row>
    <row r="14" spans="4:35" ht="15.75" thickBot="1" x14ac:dyDescent="0.3">
      <c r="D14" s="11" t="s">
        <v>27</v>
      </c>
      <c r="E14" s="21">
        <v>0.56100000000000005</v>
      </c>
      <c r="F14" s="21">
        <v>0.92700000000000005</v>
      </c>
      <c r="G14" s="24">
        <v>0.9</v>
      </c>
      <c r="H14" s="21">
        <v>0.88695569789188755</v>
      </c>
      <c r="I14" s="21">
        <v>0.59155488249560984</v>
      </c>
      <c r="J14" s="21">
        <v>1</v>
      </c>
      <c r="K14" s="23" t="s">
        <v>24</v>
      </c>
      <c r="L14" s="21">
        <v>1</v>
      </c>
      <c r="M14" s="21">
        <v>0.53229230769230773</v>
      </c>
      <c r="N14" s="21">
        <v>0.53398569815581476</v>
      </c>
      <c r="O14" s="21">
        <v>0.77735849056603779</v>
      </c>
      <c r="P14" s="24">
        <v>0.75529071602506859</v>
      </c>
      <c r="Q14" s="295">
        <v>0.7</v>
      </c>
      <c r="R14" s="21">
        <v>0.88</v>
      </c>
      <c r="S14">
        <v>520000</v>
      </c>
      <c r="T14" s="191">
        <v>1.01</v>
      </c>
      <c r="U14" s="191">
        <v>0.53709872804360992</v>
      </c>
      <c r="V14">
        <v>520000</v>
      </c>
      <c r="W14" s="296">
        <v>276792</v>
      </c>
      <c r="X14" s="27"/>
      <c r="Y14" s="27"/>
      <c r="Z14" s="27"/>
      <c r="AC14" s="35" t="s">
        <v>33</v>
      </c>
      <c r="AD14" s="27"/>
      <c r="AF14" s="259" t="s">
        <v>27</v>
      </c>
      <c r="AH14" s="261" t="s">
        <v>21</v>
      </c>
      <c r="AI14" s="262">
        <v>0.9</v>
      </c>
    </row>
    <row r="15" spans="4:35" ht="15.75" thickBot="1" x14ac:dyDescent="0.3">
      <c r="D15" s="11" t="s">
        <v>21</v>
      </c>
      <c r="E15" s="21">
        <v>0.61199999999999999</v>
      </c>
      <c r="F15" s="21">
        <v>0.90600000000000003</v>
      </c>
      <c r="G15" s="21">
        <v>0.95</v>
      </c>
      <c r="H15" s="21">
        <v>0.96845124282982786</v>
      </c>
      <c r="I15" s="21">
        <v>0.84428809479725997</v>
      </c>
      <c r="J15" s="21">
        <v>0.86</v>
      </c>
      <c r="K15" s="21">
        <v>1</v>
      </c>
      <c r="L15" s="21">
        <v>1</v>
      </c>
      <c r="M15" s="21">
        <v>0.97718068214074871</v>
      </c>
      <c r="N15" s="21">
        <v>1.1758241758241759</v>
      </c>
      <c r="O15" s="21">
        <v>0.87031408308004055</v>
      </c>
      <c r="P15" s="24">
        <v>0.93199707771438822</v>
      </c>
      <c r="Q15" s="295">
        <v>0.7</v>
      </c>
      <c r="R15" s="21">
        <v>0.83</v>
      </c>
      <c r="S15">
        <v>750373</v>
      </c>
      <c r="T15" s="5">
        <v>0.91</v>
      </c>
      <c r="U15" s="5">
        <v>1.07</v>
      </c>
      <c r="V15">
        <v>750373</v>
      </c>
      <c r="W15" s="296">
        <v>733250</v>
      </c>
      <c r="X15" s="27"/>
      <c r="Y15" s="27"/>
      <c r="Z15" s="27"/>
      <c r="AC15" s="35" t="s">
        <v>21</v>
      </c>
      <c r="AD15" s="27">
        <v>0.50990099009900991</v>
      </c>
      <c r="AF15" s="258" t="s">
        <v>21</v>
      </c>
      <c r="AH15" s="261" t="s">
        <v>17</v>
      </c>
      <c r="AI15" s="262">
        <v>0.8</v>
      </c>
    </row>
    <row r="16" spans="4:35" ht="15.75" thickBot="1" x14ac:dyDescent="0.3">
      <c r="D16" s="11" t="s">
        <v>14</v>
      </c>
      <c r="E16" s="21">
        <v>0.84799999999999998</v>
      </c>
      <c r="F16" s="21">
        <v>0.92400000000000004</v>
      </c>
      <c r="G16" s="21" t="s">
        <v>24</v>
      </c>
      <c r="H16" s="21">
        <v>1.0733333333333333</v>
      </c>
      <c r="I16" s="21">
        <v>1.1168578216891083</v>
      </c>
      <c r="J16" s="21">
        <v>1</v>
      </c>
      <c r="K16" s="21">
        <v>1</v>
      </c>
      <c r="L16" s="21">
        <v>1</v>
      </c>
      <c r="M16" s="21">
        <v>0.79364223471380113</v>
      </c>
      <c r="N16" s="21">
        <v>1</v>
      </c>
      <c r="O16" s="21">
        <v>0.93421779988944165</v>
      </c>
      <c r="P16" s="24">
        <v>0.93899378690959279</v>
      </c>
      <c r="Q16" s="295">
        <v>0.82</v>
      </c>
      <c r="R16" s="21">
        <v>0.91</v>
      </c>
      <c r="S16">
        <v>2344157</v>
      </c>
      <c r="T16" s="5">
        <v>0.86</v>
      </c>
      <c r="U16" s="5">
        <v>0.86</v>
      </c>
      <c r="V16">
        <v>2344157</v>
      </c>
      <c r="W16" s="296">
        <v>1860422</v>
      </c>
      <c r="X16" s="27"/>
      <c r="Y16" s="27"/>
      <c r="Z16" s="27"/>
      <c r="AC16" s="35" t="s">
        <v>14</v>
      </c>
      <c r="AD16" s="27">
        <v>0.42694023193577163</v>
      </c>
      <c r="AF16" s="259" t="s">
        <v>14</v>
      </c>
      <c r="AH16" s="261" t="s">
        <v>25</v>
      </c>
      <c r="AI16" s="262">
        <v>0.7</v>
      </c>
    </row>
    <row r="17" spans="3:35" ht="15.75" thickBot="1" x14ac:dyDescent="0.3">
      <c r="D17" s="11" t="s">
        <v>17</v>
      </c>
      <c r="E17" s="21">
        <v>0.88300000000000001</v>
      </c>
      <c r="F17" s="21">
        <v>0.97199999999999998</v>
      </c>
      <c r="G17" s="21">
        <v>0.7</v>
      </c>
      <c r="H17" s="21">
        <v>1.0928712570299437</v>
      </c>
      <c r="I17" s="21">
        <v>1.2731400628711138</v>
      </c>
      <c r="J17" s="21">
        <v>1</v>
      </c>
      <c r="K17" s="21">
        <v>1</v>
      </c>
      <c r="L17" s="21">
        <v>1</v>
      </c>
      <c r="M17" s="21">
        <v>0.84243966880022991</v>
      </c>
      <c r="N17" s="21">
        <v>1</v>
      </c>
      <c r="O17" s="21">
        <v>0.87522176227084569</v>
      </c>
      <c r="P17" s="24">
        <v>0.91605446244129962</v>
      </c>
      <c r="Q17" s="295">
        <v>0.86</v>
      </c>
      <c r="R17" s="21">
        <v>0.9</v>
      </c>
      <c r="S17">
        <v>3256524</v>
      </c>
      <c r="T17" s="5">
        <v>0.77</v>
      </c>
      <c r="U17" s="5">
        <v>0.77</v>
      </c>
      <c r="V17">
        <v>3256524</v>
      </c>
      <c r="W17" s="296">
        <v>2743425</v>
      </c>
      <c r="X17" s="27"/>
      <c r="Y17" s="27"/>
      <c r="Z17" s="27"/>
      <c r="AC17" s="35" t="s">
        <v>17</v>
      </c>
      <c r="AD17" s="27">
        <v>0.71503680336487907</v>
      </c>
      <c r="AF17" s="258" t="s">
        <v>17</v>
      </c>
      <c r="AH17" s="261" t="s">
        <v>75</v>
      </c>
      <c r="AI17" s="262">
        <v>0.8</v>
      </c>
    </row>
    <row r="18" spans="3:35" ht="15.75" thickBot="1" x14ac:dyDescent="0.3">
      <c r="D18" s="11" t="s">
        <v>25</v>
      </c>
      <c r="E18" s="21">
        <v>0.873</v>
      </c>
      <c r="F18" s="21">
        <v>0.93799999999999994</v>
      </c>
      <c r="G18" s="24">
        <v>0.85</v>
      </c>
      <c r="H18" s="21">
        <v>0.98309178743961345</v>
      </c>
      <c r="I18" s="21">
        <v>1.0457799956606635</v>
      </c>
      <c r="J18" s="21">
        <v>0.86</v>
      </c>
      <c r="K18" s="23" t="s">
        <v>24</v>
      </c>
      <c r="L18" s="21">
        <v>1</v>
      </c>
      <c r="M18" s="21">
        <v>0.78588552546934176</v>
      </c>
      <c r="N18" s="21">
        <v>1.2362204724409449</v>
      </c>
      <c r="O18" s="21">
        <v>0.84395473496128648</v>
      </c>
      <c r="P18" s="24">
        <v>0.89518719707983885</v>
      </c>
      <c r="Q18" s="295">
        <v>0.84</v>
      </c>
      <c r="R18" s="21">
        <v>0.9</v>
      </c>
      <c r="S18">
        <v>3645265</v>
      </c>
      <c r="T18" s="5">
        <v>1.27</v>
      </c>
      <c r="U18" s="5">
        <v>1.57</v>
      </c>
      <c r="V18">
        <v>3645265</v>
      </c>
      <c r="W18" s="296">
        <v>2864761</v>
      </c>
      <c r="X18" s="27"/>
      <c r="Y18" s="27"/>
      <c r="Z18" s="27"/>
      <c r="AC18" s="35" t="s">
        <v>25</v>
      </c>
      <c r="AD18" s="27">
        <v>0.68768328445747806</v>
      </c>
      <c r="AF18" s="259" t="s">
        <v>25</v>
      </c>
      <c r="AH18" s="261" t="s">
        <v>76</v>
      </c>
      <c r="AI18" s="262">
        <v>0.5</v>
      </c>
    </row>
    <row r="19" spans="3:35" ht="15.75" thickBot="1" x14ac:dyDescent="0.3">
      <c r="D19" s="11" t="s">
        <v>18</v>
      </c>
      <c r="E19" s="21">
        <v>0.98899999999999999</v>
      </c>
      <c r="F19" s="21">
        <v>0.99099999999999999</v>
      </c>
      <c r="G19" s="21">
        <v>0</v>
      </c>
      <c r="H19" s="21">
        <v>0.98552128346495793</v>
      </c>
      <c r="I19" s="199">
        <v>1.0308548564979865</v>
      </c>
      <c r="J19" s="21">
        <v>1</v>
      </c>
      <c r="K19" s="21">
        <v>1</v>
      </c>
      <c r="L19" s="21">
        <v>1</v>
      </c>
      <c r="M19" s="21">
        <v>0.95996666666666663</v>
      </c>
      <c r="N19" s="21">
        <v>1</v>
      </c>
      <c r="O19" s="21">
        <v>0.71533742331288341</v>
      </c>
      <c r="P19" s="24">
        <v>0.85601541166579653</v>
      </c>
      <c r="Q19" s="295">
        <v>0.94</v>
      </c>
      <c r="R19" s="21">
        <v>0.95</v>
      </c>
      <c r="S19">
        <v>2100000</v>
      </c>
      <c r="T19" s="5">
        <v>0.85</v>
      </c>
      <c r="U19" s="5">
        <v>0.85</v>
      </c>
      <c r="V19">
        <v>2100000</v>
      </c>
      <c r="W19" s="296">
        <v>2015930</v>
      </c>
      <c r="X19" s="117"/>
      <c r="Y19" s="197"/>
      <c r="Z19" s="197"/>
      <c r="AC19" s="193" t="s">
        <v>18</v>
      </c>
      <c r="AD19" s="197">
        <v>0.41010656583018218</v>
      </c>
      <c r="AF19" s="258" t="s">
        <v>18</v>
      </c>
      <c r="AH19" s="261" t="s">
        <v>18</v>
      </c>
      <c r="AI19" s="262">
        <v>0.4</v>
      </c>
    </row>
    <row r="20" spans="3:35" x14ac:dyDescent="0.25">
      <c r="R20" s="199"/>
      <c r="AC20" s="193"/>
      <c r="AD20" s="27"/>
    </row>
    <row r="22" spans="3:35" ht="15.75" thickBot="1" x14ac:dyDescent="0.3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35" x14ac:dyDescent="0.25">
      <c r="E23" s="277" t="s">
        <v>202</v>
      </c>
      <c r="F23" s="278"/>
      <c r="G23" s="278"/>
      <c r="H23" s="278"/>
      <c r="I23" s="279"/>
      <c r="J23" s="280" t="s">
        <v>203</v>
      </c>
      <c r="K23" s="281"/>
      <c r="L23" s="282"/>
      <c r="M23" s="283" t="s">
        <v>204</v>
      </c>
      <c r="N23" s="284"/>
      <c r="O23" s="285"/>
    </row>
    <row r="24" spans="3:35" x14ac:dyDescent="0.25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35" ht="7.15" customHeight="1" thickBot="1" x14ac:dyDescent="0.3">
      <c r="E25" s="202"/>
      <c r="I25" s="203"/>
      <c r="J25" s="202"/>
      <c r="L25" s="203"/>
      <c r="M25" s="202"/>
      <c r="O25" s="203"/>
    </row>
    <row r="26" spans="3:35" ht="30" x14ac:dyDescent="0.25">
      <c r="C26" s="161" t="s">
        <v>205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206</v>
      </c>
      <c r="Q26" s="161" t="s">
        <v>205</v>
      </c>
    </row>
    <row r="27" spans="3:35" x14ac:dyDescent="0.25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207</v>
      </c>
    </row>
    <row r="28" spans="3:35" x14ac:dyDescent="0.25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208</v>
      </c>
    </row>
    <row r="29" spans="3:35" x14ac:dyDescent="0.25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209</v>
      </c>
    </row>
    <row r="30" spans="3:35" x14ac:dyDescent="0.25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210</v>
      </c>
    </row>
    <row r="31" spans="3:35" x14ac:dyDescent="0.25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188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211</v>
      </c>
    </row>
    <row r="32" spans="3:35" x14ac:dyDescent="0.25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212</v>
      </c>
    </row>
    <row r="33" spans="3:17" x14ac:dyDescent="0.25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213</v>
      </c>
    </row>
    <row r="34" spans="3:17" x14ac:dyDescent="0.25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214</v>
      </c>
    </row>
    <row r="35" spans="3:17" x14ac:dyDescent="0.25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215</v>
      </c>
    </row>
    <row r="36" spans="3:17" x14ac:dyDescent="0.25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188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216</v>
      </c>
    </row>
    <row r="37" spans="3:17" x14ac:dyDescent="0.25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188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217</v>
      </c>
    </row>
    <row r="38" spans="3:17" x14ac:dyDescent="0.25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188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218</v>
      </c>
    </row>
    <row r="39" spans="3:17" x14ac:dyDescent="0.25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188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219</v>
      </c>
    </row>
    <row r="40" spans="3:17" ht="15.75" thickBot="1" x14ac:dyDescent="0.3">
      <c r="C40" s="28">
        <v>14</v>
      </c>
      <c r="D40" s="201" t="s">
        <v>78</v>
      </c>
      <c r="E40" s="208" t="s">
        <v>188</v>
      </c>
      <c r="F40" s="209" t="s">
        <v>188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188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224</v>
      </c>
    </row>
    <row r="42" spans="3:17" x14ac:dyDescent="0.25">
      <c r="C42" s="228"/>
      <c r="D42" s="229" t="s">
        <v>221</v>
      </c>
      <c r="E42" s="21"/>
      <c r="G42" s="21">
        <v>0.99</v>
      </c>
    </row>
    <row r="46" spans="3:17" ht="15.75" thickBot="1" x14ac:dyDescent="0.3"/>
    <row r="47" spans="3:17" x14ac:dyDescent="0.25">
      <c r="E47" s="277" t="s">
        <v>225</v>
      </c>
      <c r="F47" s="278"/>
      <c r="G47" s="278"/>
      <c r="H47" s="278"/>
      <c r="I47" s="279"/>
      <c r="J47" s="280" t="s">
        <v>203</v>
      </c>
      <c r="K47" s="281"/>
      <c r="L47" s="282"/>
      <c r="M47" s="283" t="s">
        <v>226</v>
      </c>
      <c r="N47" s="284"/>
      <c r="O47" s="285"/>
      <c r="P47" s="235" t="s">
        <v>173</v>
      </c>
    </row>
    <row r="48" spans="3:17" x14ac:dyDescent="0.25">
      <c r="E48" s="214" t="s">
        <v>188</v>
      </c>
      <c r="F48" s="215" t="s">
        <v>188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188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"/>
    <row r="50" spans="3:17" ht="30" x14ac:dyDescent="0.25">
      <c r="C50" s="28" t="s">
        <v>205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227</v>
      </c>
    </row>
    <row r="51" spans="3:17" ht="19.5" thickBot="1" x14ac:dyDescent="0.3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.75" thickBot="1" x14ac:dyDescent="0.3">
      <c r="E55" s="252"/>
      <c r="F55" s="252"/>
      <c r="G55" s="252"/>
      <c r="H55" s="252"/>
      <c r="I55" s="252"/>
      <c r="J55" s="252"/>
    </row>
    <row r="56" spans="3:17" x14ac:dyDescent="0.25">
      <c r="E56" s="288" t="s">
        <v>202</v>
      </c>
      <c r="F56" s="289"/>
      <c r="G56" s="289"/>
      <c r="H56" s="289"/>
      <c r="I56" s="289"/>
      <c r="J56" s="289"/>
      <c r="K56" s="280" t="s">
        <v>203</v>
      </c>
      <c r="L56" s="281"/>
      <c r="M56" s="282"/>
      <c r="N56" s="283" t="s">
        <v>226</v>
      </c>
      <c r="O56" s="284"/>
      <c r="P56" s="285"/>
      <c r="Q56" s="235" t="s">
        <v>173</v>
      </c>
    </row>
    <row r="57" spans="3:17" x14ac:dyDescent="0.25">
      <c r="E57" s="214">
        <v>0.06</v>
      </c>
      <c r="F57" s="215">
        <v>0.06</v>
      </c>
      <c r="G57" s="215">
        <v>0.05</v>
      </c>
      <c r="H57" s="215">
        <v>0.04</v>
      </c>
      <c r="I57" s="287">
        <v>0.04</v>
      </c>
      <c r="J57" s="287"/>
      <c r="K57" s="217">
        <v>0.05</v>
      </c>
      <c r="L57" s="218" t="s">
        <v>188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"/>
    <row r="59" spans="3:17" ht="30" x14ac:dyDescent="0.25">
      <c r="C59" s="28" t="s">
        <v>205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286" t="s">
        <v>6</v>
      </c>
      <c r="J59" s="286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227</v>
      </c>
    </row>
    <row r="60" spans="3:17" ht="19.5" thickBot="1" x14ac:dyDescent="0.3">
      <c r="C60" s="23" t="s">
        <v>220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3" t="s">
        <v>222</v>
      </c>
      <c r="J60" s="254" t="s">
        <v>223</v>
      </c>
      <c r="K60" s="206">
        <v>1</v>
      </c>
      <c r="L60" s="21" t="s">
        <v>188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</sheetData>
  <sortState xmlns:xlrd2="http://schemas.microsoft.com/office/spreadsheetml/2017/richdata2" ref="AC5:AD21">
    <sortCondition ref="AC5:AC21"/>
  </sortState>
  <mergeCells count="11">
    <mergeCell ref="I59:J59"/>
    <mergeCell ref="K56:M56"/>
    <mergeCell ref="N56:P56"/>
    <mergeCell ref="I57:J57"/>
    <mergeCell ref="E56:J56"/>
    <mergeCell ref="E23:I23"/>
    <mergeCell ref="J23:L23"/>
    <mergeCell ref="M23:O23"/>
    <mergeCell ref="E47:I47"/>
    <mergeCell ref="J47:L47"/>
    <mergeCell ref="M47:O47"/>
  </mergeCells>
  <conditionalFormatting sqref="E27:E29 E31:E32">
    <cfRule type="cellIs" dxfId="55" priority="33" operator="lessThan">
      <formula>1</formula>
    </cfRule>
  </conditionalFormatting>
  <conditionalFormatting sqref="E30">
    <cfRule type="cellIs" dxfId="54" priority="2" operator="lessThan">
      <formula>0.95</formula>
    </cfRule>
    <cfRule type="cellIs" dxfId="53" priority="3" operator="between">
      <formula>0.99</formula>
      <formula>0.95</formula>
    </cfRule>
  </conditionalFormatting>
  <conditionalFormatting sqref="E42">
    <cfRule type="cellIs" dxfId="52" priority="5" operator="lessThan">
      <formula>0.95</formula>
    </cfRule>
    <cfRule type="cellIs" dxfId="51" priority="6" operator="between">
      <formula>0.99</formula>
      <formula>0.95</formula>
    </cfRule>
  </conditionalFormatting>
  <conditionalFormatting sqref="G42">
    <cfRule type="cellIs" dxfId="50" priority="4" operator="between">
      <formula>0.99</formula>
      <formula>0.95</formula>
    </cfRule>
  </conditionalFormatting>
  <conditionalFormatting sqref="H27:H40">
    <cfRule type="cellIs" dxfId="49" priority="32" operator="between">
      <formula>0.99</formula>
      <formula>0.95</formula>
    </cfRule>
  </conditionalFormatting>
  <conditionalFormatting sqref="H39">
    <cfRule type="cellIs" dxfId="48" priority="31" operator="lessThan">
      <formula>0.95</formula>
    </cfRule>
  </conditionalFormatting>
  <conditionalFormatting sqref="I27:I38">
    <cfRule type="cellIs" dxfId="47" priority="25" operator="between">
      <formula>0.99</formula>
      <formula>0.95</formula>
    </cfRule>
  </conditionalFormatting>
  <conditionalFormatting sqref="I30">
    <cfRule type="cellIs" dxfId="46" priority="28" operator="lessThan">
      <formula>0.95</formula>
    </cfRule>
  </conditionalFormatting>
  <conditionalFormatting sqref="I33">
    <cfRule type="cellIs" dxfId="45" priority="26" operator="lessThan">
      <formula>0.95</formula>
    </cfRule>
  </conditionalFormatting>
  <conditionalFormatting sqref="I36">
    <cfRule type="cellIs" dxfId="44" priority="24" operator="lessThan">
      <formula>0.95</formula>
    </cfRule>
  </conditionalFormatting>
  <conditionalFormatting sqref="M27:M38">
    <cfRule type="cellIs" dxfId="43" priority="22" operator="between">
      <formula>0.99</formula>
      <formula>0.95</formula>
    </cfRule>
  </conditionalFormatting>
  <conditionalFormatting sqref="M38">
    <cfRule type="cellIs" dxfId="42" priority="21" operator="lessThan">
      <formula>0.95</formula>
    </cfRule>
  </conditionalFormatting>
  <conditionalFormatting sqref="M40">
    <cfRule type="cellIs" dxfId="41" priority="19" operator="lessThan">
      <formula>0.95</formula>
    </cfRule>
    <cfRule type="cellIs" dxfId="40" priority="20" operator="between">
      <formula>0.99</formula>
      <formula>0.95</formula>
    </cfRule>
  </conditionalFormatting>
  <conditionalFormatting sqref="N31:N32">
    <cfRule type="cellIs" dxfId="39" priority="9" operator="between">
      <formula>0.99</formula>
      <formula>0.95</formula>
    </cfRule>
  </conditionalFormatting>
  <conditionalFormatting sqref="N32">
    <cfRule type="cellIs" dxfId="38" priority="10" operator="lessThan">
      <formula>0.95</formula>
    </cfRule>
  </conditionalFormatting>
  <conditionalFormatting sqref="N34:N36">
    <cfRule type="cellIs" dxfId="37" priority="17" operator="between">
      <formula>0.99</formula>
      <formula>0.95</formula>
    </cfRule>
  </conditionalFormatting>
  <conditionalFormatting sqref="N36">
    <cfRule type="cellIs" dxfId="36" priority="16" operator="lessThan">
      <formula>0.95</formula>
    </cfRule>
  </conditionalFormatting>
  <conditionalFormatting sqref="O30:O36">
    <cfRule type="cellIs" dxfId="35" priority="13" operator="between">
      <formula>0.99</formula>
      <formula>0.95</formula>
    </cfRule>
  </conditionalFormatting>
  <conditionalFormatting sqref="O31:O36">
    <cfRule type="cellIs" dxfId="34" priority="14" operator="lessThan">
      <formula>0.95</formula>
    </cfRule>
  </conditionalFormatting>
  <conditionalFormatting sqref="O38">
    <cfRule type="cellIs" dxfId="33" priority="7" operator="lessThan">
      <formula>0.95</formula>
    </cfRule>
    <cfRule type="cellIs" dxfId="32" priority="8" operator="between">
      <formula>0.99</formula>
      <formula>0.95</formula>
    </cfRule>
  </conditionalFormatting>
  <conditionalFormatting sqref="P27:P40">
    <cfRule type="cellIs" dxfId="31" priority="34" operator="lessThan">
      <formula>0.9</formula>
    </cfRule>
  </conditionalFormatting>
  <conditionalFormatting sqref="P5:P19">
    <cfRule type="cellIs" dxfId="26" priority="1" operator="lessThan">
      <formula>0.9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sheetPr codeName="Hoja9"/>
  <dimension ref="B3:O72"/>
  <sheetViews>
    <sheetView showGridLines="0" zoomScale="70" zoomScaleNormal="70" workbookViewId="0">
      <selection activeCell="P20" sqref="P20"/>
    </sheetView>
  </sheetViews>
  <sheetFormatPr baseColWidth="10" defaultColWidth="8.85546875" defaultRowHeight="15" x14ac:dyDescent="0.25"/>
  <cols>
    <col min="1" max="1" width="6.28515625" customWidth="1"/>
    <col min="2" max="2" width="10.7109375" customWidth="1"/>
    <col min="7" max="7" width="11.42578125" customWidth="1"/>
    <col min="9" max="9" width="11.7109375" customWidth="1"/>
    <col min="15" max="15" width="11.42578125" customWidth="1"/>
  </cols>
  <sheetData>
    <row r="3" spans="2:15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199</v>
      </c>
    </row>
    <row r="4" spans="2:15" x14ac:dyDescent="0.25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25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0.86413554677774018</v>
      </c>
    </row>
    <row r="6" spans="2:15" x14ac:dyDescent="0.25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25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25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25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25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25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25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25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7">
        <f>VLOOKUP(B13,'OR SEP'!$J$42:$M$57,'OR SEP'!$K$41,FALSE)</f>
        <v>0.96635559034971086</v>
      </c>
      <c r="L13" s="27">
        <f>VLOOKUP(B13,'OR SEP'!$J$42:$M$57,'OR SEP'!$L$41,FALSE)</f>
        <v>0.97959183673469385</v>
      </c>
      <c r="M13" s="27">
        <f>VLOOKUP(B13,'OR SEP'!$AK$4:$AL$19,'OR SEP'!$AL$3,FALSE)</f>
        <v>0.849705304518664</v>
      </c>
      <c r="O13" s="21">
        <v>0.94614189309901087</v>
      </c>
    </row>
    <row r="14" spans="2:15" x14ac:dyDescent="0.25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25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25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25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25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0.86413554677774018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25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25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25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25">
      <c r="B58" s="28" t="s">
        <v>1</v>
      </c>
      <c r="C58" s="28" t="s">
        <v>32</v>
      </c>
      <c r="D58" s="28" t="s">
        <v>200</v>
      </c>
      <c r="E58" s="20" t="s">
        <v>142</v>
      </c>
    </row>
    <row r="59" spans="2:14" x14ac:dyDescent="0.25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201</v>
      </c>
      <c r="H59" s="1">
        <f>E59+E60+E61+E62+E63+E64+E65+E66+E67+E68+E70</f>
        <v>0.7568042142230027</v>
      </c>
    </row>
    <row r="60" spans="2:14" x14ac:dyDescent="0.25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25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25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25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25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25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25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25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25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25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25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25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25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30" priority="4" operator="lessThan">
      <formula>0.95</formula>
    </cfRule>
    <cfRule type="cellIs" dxfId="29" priority="5" operator="between">
      <formula>0.99</formula>
      <formula>0.95</formula>
    </cfRule>
  </conditionalFormatting>
  <conditionalFormatting sqref="N40:N54">
    <cfRule type="cellIs" dxfId="28" priority="7" operator="lessThan">
      <formula>0.9</formula>
    </cfRule>
  </conditionalFormatting>
  <conditionalFormatting sqref="O4:O18">
    <cfRule type="cellIs" dxfId="27" priority="1" operator="lessThan">
      <formula>0.9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sheetPr codeName="Hoja10"/>
  <dimension ref="C1:O20"/>
  <sheetViews>
    <sheetView showGridLines="0" workbookViewId="0">
      <selection activeCell="K11" sqref="K11"/>
    </sheetView>
  </sheetViews>
  <sheetFormatPr baseColWidth="10" defaultColWidth="8.7109375" defaultRowHeight="15" x14ac:dyDescent="0.25"/>
  <cols>
    <col min="1" max="2" width="8.7109375" style="11"/>
    <col min="3" max="3" width="10.7109375" style="11" customWidth="1"/>
    <col min="4" max="4" width="11.7109375" style="11" customWidth="1"/>
    <col min="5" max="5" width="12.42578125" style="11" customWidth="1"/>
    <col min="6" max="7" width="10.7109375" style="11" customWidth="1"/>
    <col min="8" max="8" width="9.7109375" style="11" customWidth="1"/>
    <col min="9" max="16384" width="8.7109375" style="11"/>
  </cols>
  <sheetData>
    <row r="1" spans="3:15" ht="15.75" thickBot="1" x14ac:dyDescent="0.3"/>
    <row r="2" spans="3:15" x14ac:dyDescent="0.25">
      <c r="C2" s="277" t="s">
        <v>202</v>
      </c>
      <c r="D2" s="278"/>
      <c r="E2" s="278"/>
      <c r="F2" s="278"/>
      <c r="G2" s="278"/>
      <c r="H2" s="279"/>
    </row>
    <row r="3" spans="3:15" x14ac:dyDescent="0.25">
      <c r="C3" s="214">
        <v>0.06</v>
      </c>
      <c r="D3" s="215">
        <v>0.06</v>
      </c>
      <c r="E3" s="215">
        <v>0.05</v>
      </c>
      <c r="F3" s="215">
        <v>0.04</v>
      </c>
      <c r="G3" s="287">
        <v>0.04</v>
      </c>
      <c r="H3" s="292"/>
    </row>
    <row r="4" spans="3:15" ht="23.1" customHeight="1" x14ac:dyDescent="0.25">
      <c r="C4" s="204" t="s">
        <v>2</v>
      </c>
      <c r="D4" s="161" t="s">
        <v>3</v>
      </c>
      <c r="E4" s="161" t="s">
        <v>4</v>
      </c>
      <c r="F4" s="161" t="s">
        <v>5</v>
      </c>
      <c r="G4" s="286" t="s">
        <v>6</v>
      </c>
      <c r="H4" s="291"/>
    </row>
    <row r="5" spans="3:15" ht="23.1" customHeight="1" thickBot="1" x14ac:dyDescent="0.3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222</v>
      </c>
      <c r="H5" s="249" t="s">
        <v>223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15" customHeight="1" x14ac:dyDescent="0.25"/>
    <row r="7" spans="3:15" ht="7.15" customHeight="1" thickBot="1" x14ac:dyDescent="0.3"/>
    <row r="8" spans="3:15" x14ac:dyDescent="0.25">
      <c r="D8" s="280" t="s">
        <v>203</v>
      </c>
      <c r="E8" s="281"/>
      <c r="F8" s="282"/>
    </row>
    <row r="9" spans="3:15" x14ac:dyDescent="0.25">
      <c r="D9" s="217">
        <v>0.05</v>
      </c>
      <c r="E9" s="218" t="s">
        <v>188</v>
      </c>
      <c r="F9" s="219">
        <v>0.1</v>
      </c>
    </row>
    <row r="10" spans="3:15" ht="24" customHeight="1" thickBot="1" x14ac:dyDescent="0.3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">
      <c r="D11" s="240">
        <v>1</v>
      </c>
      <c r="E11" s="240" t="s">
        <v>188</v>
      </c>
      <c r="F11" s="240">
        <v>1</v>
      </c>
    </row>
    <row r="12" spans="3:15" ht="6.6" customHeight="1" x14ac:dyDescent="0.25"/>
    <row r="13" spans="3:15" ht="6.6" customHeight="1" thickBot="1" x14ac:dyDescent="0.3"/>
    <row r="14" spans="3:15" x14ac:dyDescent="0.25">
      <c r="D14" s="283" t="s">
        <v>204</v>
      </c>
      <c r="E14" s="284"/>
      <c r="F14" s="285"/>
    </row>
    <row r="15" spans="3:15" ht="15.75" thickBot="1" x14ac:dyDescent="0.3">
      <c r="D15" s="241">
        <v>0.2</v>
      </c>
      <c r="E15" s="242">
        <v>0.1</v>
      </c>
      <c r="F15" s="243">
        <v>0.3</v>
      </c>
    </row>
    <row r="16" spans="3:15" ht="21.6" customHeight="1" thickBot="1" x14ac:dyDescent="0.3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">
      <c r="D17" s="236">
        <v>1.0255962807359507</v>
      </c>
      <c r="E17" s="245">
        <v>0.79842431063590313</v>
      </c>
      <c r="F17" s="245">
        <v>0.79114642451759365</v>
      </c>
    </row>
    <row r="18" spans="4:6" ht="15.75" thickBot="1" x14ac:dyDescent="0.3"/>
    <row r="19" spans="4:6" ht="16.5" thickBot="1" x14ac:dyDescent="0.3">
      <c r="D19" s="293" t="s">
        <v>206</v>
      </c>
      <c r="E19" s="293"/>
      <c r="F19" s="293"/>
    </row>
    <row r="20" spans="4:6" ht="21.75" thickBot="1" x14ac:dyDescent="0.4">
      <c r="D20" s="290">
        <v>0.88896254810644371</v>
      </c>
      <c r="E20" s="290"/>
      <c r="F20" s="290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sheetPr codeName="Hoja11"/>
  <dimension ref="B4:X7"/>
  <sheetViews>
    <sheetView showGridLines="0" workbookViewId="0">
      <selection activeCell="L18" sqref="L18"/>
    </sheetView>
  </sheetViews>
  <sheetFormatPr baseColWidth="10" defaultColWidth="8.85546875" defaultRowHeight="15" x14ac:dyDescent="0.25"/>
  <cols>
    <col min="1" max="1" width="6.5703125" customWidth="1"/>
    <col min="2" max="2" width="10.7109375" customWidth="1"/>
    <col min="3" max="3" width="6.42578125" customWidth="1"/>
    <col min="5" max="5" width="6.42578125" customWidth="1"/>
    <col min="7" max="7" width="6.42578125" customWidth="1"/>
    <col min="9" max="9" width="6.42578125" customWidth="1"/>
    <col min="11" max="11" width="6.42578125" customWidth="1"/>
    <col min="13" max="13" width="6.42578125" customWidth="1"/>
    <col min="15" max="15" width="6.42578125" customWidth="1"/>
    <col min="17" max="17" width="6.42578125" customWidth="1"/>
    <col min="19" max="19" width="6.42578125" customWidth="1"/>
    <col min="21" max="21" width="6.42578125" customWidth="1"/>
    <col min="23" max="23" width="6.42578125" customWidth="1"/>
  </cols>
  <sheetData>
    <row r="4" spans="2:24" ht="24" customHeight="1" x14ac:dyDescent="0.25">
      <c r="B4" s="20" t="s">
        <v>1</v>
      </c>
      <c r="C4" s="294" t="s">
        <v>2</v>
      </c>
      <c r="D4" s="294"/>
      <c r="E4" s="294" t="s">
        <v>3</v>
      </c>
      <c r="F4" s="294"/>
      <c r="G4" s="294" t="s">
        <v>4</v>
      </c>
      <c r="H4" s="294"/>
      <c r="I4" s="294" t="s">
        <v>5</v>
      </c>
      <c r="J4" s="294"/>
      <c r="K4" s="294" t="s">
        <v>6</v>
      </c>
      <c r="L4" s="294"/>
      <c r="M4" s="294" t="s">
        <v>7</v>
      </c>
      <c r="N4" s="294"/>
      <c r="O4" s="294" t="s">
        <v>8</v>
      </c>
      <c r="P4" s="294"/>
      <c r="Q4" s="294" t="s">
        <v>9</v>
      </c>
      <c r="R4" s="294"/>
      <c r="S4" s="294" t="s">
        <v>10</v>
      </c>
      <c r="T4" s="294"/>
      <c r="U4" s="294" t="s">
        <v>11</v>
      </c>
      <c r="V4" s="294"/>
      <c r="W4" s="294" t="s">
        <v>12</v>
      </c>
      <c r="X4" s="294"/>
    </row>
    <row r="5" spans="2:24" ht="20.65" customHeight="1" x14ac:dyDescent="0.25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65" customHeight="1" x14ac:dyDescent="0.25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65" customHeight="1" x14ac:dyDescent="0.25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K4:L4"/>
    <mergeCell ref="I4:J4"/>
    <mergeCell ref="G4:H4"/>
    <mergeCell ref="E4:F4"/>
    <mergeCell ref="C4:D4"/>
    <mergeCell ref="M4:N4"/>
    <mergeCell ref="W4:X4"/>
    <mergeCell ref="U4:V4"/>
    <mergeCell ref="S4:T4"/>
    <mergeCell ref="Q4:R4"/>
    <mergeCell ref="O4:P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09be7b49b3ef9a75f18b705818ef77e7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2802d257e544272840eb93994043e80d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AA903F-84BC-4B1C-9BC3-FB43A782A246}">
  <ds:schemaRefs>
    <ds:schemaRef ds:uri="http://www.w3.org/XML/1998/namespace"/>
    <ds:schemaRef ds:uri="22ff7873-98f4-4119-bbca-70544c3aaded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42fb338-6e7f-46c2-a04d-1835f0b57452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A69235-E416-4829-BB38-0C60BB2D4E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AP25</vt:lpstr>
      <vt:lpstr>OR Q1</vt:lpstr>
      <vt:lpstr>OR Q2</vt:lpstr>
      <vt:lpstr>AP25JUL</vt:lpstr>
      <vt:lpstr>OR AUG</vt:lpstr>
      <vt:lpstr>AP25AUG</vt:lpstr>
      <vt:lpstr>OR SEP</vt:lpstr>
      <vt:lpstr>Sheet1</vt:lpstr>
      <vt:lpstr>AP25SEP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Mauricio Hernandez</cp:lastModifiedBy>
  <cp:revision/>
  <dcterms:created xsi:type="dcterms:W3CDTF">2025-07-25T20:17:59Z</dcterms:created>
  <dcterms:modified xsi:type="dcterms:W3CDTF">2026-01-28T01:39:50Z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